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April 2026" sheetId="3" state="visible" r:id="rId5"/>
    <sheet name="May 2026" sheetId="4" state="visible" r:id="rId6"/>
    <sheet name="June 2026" sheetId="5" state="visible" r:id="rId7"/>
    <sheet name="July 2026" sheetId="6" state="visible" r:id="rId8"/>
    <sheet name="August 2026" sheetId="7" state="visible" r:id="rId9"/>
    <sheet name="September 2026" sheetId="8" state="visible" r:id="rId10"/>
    <sheet name="October 2026" sheetId="9" state="visible" r:id="rId11"/>
    <sheet name="November 2026" sheetId="10" state="visible" r:id="rId12"/>
    <sheet name="December 2026" sheetId="11" state="visible" r:id="rId13"/>
    <sheet name="January 2027" sheetId="12" state="visible" r:id="rId14"/>
    <sheet name="February 2027" sheetId="13" state="visible" r:id="rId15"/>
    <sheet name="March 2027" sheetId="14" state="visible" r:id="rId16"/>
    <sheet name="FY Summary" sheetId="15" state="visible" r:id="rId17"/>
    <sheet name="Stock Purchases" sheetId="16" state="visible" r:id="rId18"/>
    <sheet name="README" sheetId="17" state="visible" r:id="rId19"/>
    <sheet name="Data Quality Note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Fallback value — last year's March actuals, used only while this March is still unfilled. Swap in your own shop's prior-year figure when reusing this template.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Original note style preserved: product costs are already reflected in each day's Gross Profit entry — this log is for tracking cash spent on inventory, separate from daily P&amp;L.</t>
        </r>
      </text>
    </comment>
  </commentList>
</comments>
</file>

<file path=xl/sharedStrings.xml><?xml version="1.0" encoding="utf-8"?>
<sst xmlns="http://schemas.openxmlformats.org/spreadsheetml/2006/main" count="437" uniqueCount="160">
  <si>
    <t xml:space="preserve">AURA WOMEN'S FASHION</t>
  </si>
  <si>
    <t xml:space="preserve">Sales &amp; P&amp;L Tracker — Reusable Template — FY 2026-27</t>
  </si>
  <si>
    <t xml:space="preserve">One tab per month · enter daily figures as they happen · Dashboard &amp; FY Summary update automatically</t>
  </si>
  <si>
    <t xml:space="preserve">HOW TO USE THIS WORKBOOK</t>
  </si>
  <si>
    <t xml:space="preserve">1. Open the tab for the current month (e.g. "October 2026").</t>
  </si>
  <si>
    <t xml:space="preserve">2. Each day has one row. Type into the yellow cells only: Cash Sales, GPay Sales, Sales</t>
  </si>
  <si>
    <t xml:space="preserve">   Return, Gross Profit, Electric Bill, Shop Rent, Shop Expense, Salary, Donation.</t>
  </si>
  <si>
    <t xml:space="preserve">3. Total Sales, Total Expense, Net P&amp;L and Margin % calculate themselves — never type into</t>
  </si>
  <si>
    <t xml:space="preserve">   those columns.</t>
  </si>
  <si>
    <t xml:space="preserve">4. That's it. The FY Summary tab and the Dashboard pull from every month tab automatically —</t>
  </si>
  <si>
    <t xml:space="preserve">   nothing else to update by hand.</t>
  </si>
  <si>
    <t xml:space="preserve">5. Months you haven't filled in yet show a trend-based estimate on the Dashboard/FY Summary,</t>
  </si>
  <si>
    <t xml:space="preserve">   clearly marked "Projected" — the moment you fill in real numbers, it switches to "Actual".</t>
  </si>
  <si>
    <t xml:space="preserve">CONTENTS</t>
  </si>
  <si>
    <t xml:space="preserve">Dashboard</t>
  </si>
  <si>
    <t xml:space="preserve">KPIs and full-year charts, always current</t>
  </si>
  <si>
    <t xml:space="preserve">FY Summary</t>
  </si>
  <si>
    <t xml:space="preserve">All 12 months rolled up, actual + auto-projected</t>
  </si>
  <si>
    <t xml:space="preserve">April 2026 … March 2027</t>
  </si>
  <si>
    <t xml:space="preserve">One tab per month — this is where you enter data</t>
  </si>
  <si>
    <t xml:space="preserve">Data Quality Notes</t>
  </si>
  <si>
    <t xml:space="preserve">Issues found in the original data and how they were fixed</t>
  </si>
  <si>
    <t xml:space="preserve">README</t>
  </si>
  <si>
    <t xml:space="preserve">Full method notes</t>
  </si>
  <si>
    <t xml:space="preserve">  AURA WOMEN'S FASHION — FY 2026-27 Performance Dashboard</t>
  </si>
  <si>
    <t xml:space="preserve">  Live — pulls from FY Summary, which pulls from every month tab. Just enter data in the monthly tabs.</t>
  </si>
  <si>
    <t xml:space="preserve">FY Total Sales (12 mo)</t>
  </si>
  <si>
    <t xml:space="preserve">FY Net P&amp;L (12 mo)</t>
  </si>
  <si>
    <t xml:space="preserve">Months Actual so far</t>
  </si>
  <si>
    <t xml:space="preserve">Avg FY Margin</t>
  </si>
  <si>
    <t xml:space="preserve">Best Month (Net P&amp;L)</t>
  </si>
  <si>
    <t xml:space="preserve">  Dashed gold segments are projected months — they will turn solid maroon as you enter real data.</t>
  </si>
  <si>
    <t xml:space="preserve">  April 2026 — Daily Sales &amp; P&amp;L</t>
  </si>
  <si>
    <t xml:space="preserve">  Sample data for this demo. Yellow cells are editable — swap in your own shop's numbers to reuse this template.</t>
  </si>
  <si>
    <t xml:space="preserve">Date</t>
  </si>
  <si>
    <t xml:space="preserve">Cash Sales</t>
  </si>
  <si>
    <t xml:space="preserve">GPay Sales</t>
  </si>
  <si>
    <t xml:space="preserve">Sales Return</t>
  </si>
  <si>
    <t xml:space="preserve">Credit Redeemed</t>
  </si>
  <si>
    <t xml:space="preserve">Total Sales</t>
  </si>
  <si>
    <t xml:space="preserve">Gross Profit</t>
  </si>
  <si>
    <t xml:space="preserve">Electric Bill</t>
  </si>
  <si>
    <t xml:space="preserve">Shop Rent</t>
  </si>
  <si>
    <t xml:space="preserve">Shop Expense</t>
  </si>
  <si>
    <t xml:space="preserve">Salary</t>
  </si>
  <si>
    <t xml:space="preserve">Donation</t>
  </si>
  <si>
    <t xml:space="preserve">Total Expense</t>
  </si>
  <si>
    <t xml:space="preserve">Net P&amp;L</t>
  </si>
  <si>
    <t xml:space="preserve">Margin %</t>
  </si>
  <si>
    <t xml:space="preserve">Notes</t>
  </si>
  <si>
    <t xml:space="preserve">Shop closed</t>
  </si>
  <si>
    <t xml:space="preserve">TOTAL</t>
  </si>
  <si>
    <t xml:space="preserve">  May 2026 — Daily Sales &amp; P&amp;L</t>
  </si>
  <si>
    <t xml:space="preserve">  June 2026 — Daily Sales &amp; P&amp;L</t>
  </si>
  <si>
    <t xml:space="preserve">  July 2026 — Daily Sales &amp; P&amp;L</t>
  </si>
  <si>
    <t xml:space="preserve">  August 2026 — Daily Sales &amp; P&amp;L</t>
  </si>
  <si>
    <t xml:space="preserve">  September 2026 — Daily Sales &amp; P&amp;L</t>
  </si>
  <si>
    <t xml:space="preserve">  October 2026 — Daily Sales &amp; P&amp;L</t>
  </si>
  <si>
    <t xml:space="preserve">  November 2026 — Daily Sales &amp; P&amp;L</t>
  </si>
  <si>
    <t xml:space="preserve">  December 2026 — Daily Sales &amp; P&amp;L</t>
  </si>
  <si>
    <t xml:space="preserve">  January 2027 — Daily Sales &amp; P&amp;L</t>
  </si>
  <si>
    <t xml:space="preserve">  February 2027 — Daily Sales &amp; P&amp;L</t>
  </si>
  <si>
    <t xml:space="preserve">  March 2027 — Daily Sales &amp; P&amp;L</t>
  </si>
  <si>
    <t xml:space="preserve">  FY Summary — April 2026 to March 2027</t>
  </si>
  <si>
    <t xml:space="preserve">  Pulls live from each month tab. A month shows "Projected" until you enter real sales there — then it switches to "Actual" on its own.</t>
  </si>
  <si>
    <t xml:space="preserve">Month</t>
  </si>
  <si>
    <t xml:space="preserve">Type</t>
  </si>
  <si>
    <t xml:space="preserve">Cumulative P&amp;L</t>
  </si>
  <si>
    <t xml:space="preserve">Basis (if projected)</t>
  </si>
  <si>
    <t xml:space="preserve">Stock Purchased</t>
  </si>
  <si>
    <t xml:space="preserve">Net P&amp;L (Actual)</t>
  </si>
  <si>
    <t xml:space="preserve">Net P&amp;L (Projected)</t>
  </si>
  <si>
    <t xml:space="preserve">Sales (Actual)</t>
  </si>
  <si>
    <t xml:space="preserve">Sales (Projected)</t>
  </si>
  <si>
    <t xml:space="preserve">April 2026</t>
  </si>
  <si>
    <t xml:space="preserve">May 2026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</si>
  <si>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</si>
  <si>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</si>
  <si>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</si>
  <si>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</si>
  <si>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</si>
  <si>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</si>
  <si>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</si>
  <si>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</si>
  <si>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</si>
  <si>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</si>
  <si>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FY GRAND TOTAL</t>
  </si>
  <si>
    <t xml:space="preserve">  Stock Purchases — Running Log</t>
  </si>
  <si>
    <t xml:space="preserve">  Add a new row every time you buy stock. Month &amp; running total below update automatically — no separate monthly sheets to manage.</t>
  </si>
  <si>
    <t xml:space="preserve">Supplier</t>
  </si>
  <si>
    <t xml:space="preserve">Category/Items</t>
  </si>
  <si>
    <t xml:space="preserve">Description</t>
  </si>
  <si>
    <t xml:space="preserve">Qty</t>
  </si>
  <si>
    <t xml:space="preserve">Amount (₹)</t>
  </si>
  <si>
    <t xml:space="preserve">Payment</t>
  </si>
  <si>
    <t xml:space="preserve">Nakshatra Collections</t>
  </si>
  <si>
    <t xml:space="preserve">Surat</t>
  </si>
  <si>
    <t xml:space="preserve">42PCS</t>
  </si>
  <si>
    <t xml:space="preserve">GPAY</t>
  </si>
  <si>
    <t xml:space="preserve">Aaradhya Creations</t>
  </si>
  <si>
    <t xml:space="preserve">Bengaluru</t>
  </si>
  <si>
    <t xml:space="preserve">CASH</t>
  </si>
  <si>
    <t xml:space="preserve">Coastal Fashion Hub</t>
  </si>
  <si>
    <t xml:space="preserve">Ahmedabad</t>
  </si>
  <si>
    <t xml:space="preserve">35PCS</t>
  </si>
  <si>
    <t xml:space="preserve">Sundari Textiles</t>
  </si>
  <si>
    <t xml:space="preserve">58PCS</t>
  </si>
  <si>
    <t xml:space="preserve">77PCS</t>
  </si>
  <si>
    <t xml:space="preserve">Jaipur</t>
  </si>
  <si>
    <t xml:space="preserve">Blue Lotus Wholesale</t>
  </si>
  <si>
    <t xml:space="preserve">Trendz Wholesale</t>
  </si>
  <si>
    <t xml:space="preserve">TOTAL STOCK PURCHASED</t>
  </si>
  <si>
    <t xml:space="preserve">  README — How this tracker works</t>
  </si>
  <si>
    <t xml:space="preserve">WHAT THIS IS</t>
  </si>
  <si>
    <t xml:space="preserve">A reusable monthly sales &amp; P&amp;L tracker, demonstrated here with a full year of sample data for a</t>
  </si>
  <si>
    <t xml:space="preserve">fictional women's clothing shop, AURA WOMEN'S FASHION — one tab per month, April to March. The</t>
  </si>
  <si>
    <t xml:space="preserve">numbers are illustrative, but the structure, formulas, and forecasting logic are fully functional.</t>
  </si>
  <si>
    <t xml:space="preserve">HOW THE AUTOMATIC PARTS WORK</t>
  </si>
  <si>
    <t xml:space="preserve">Every month tab computes Total Sales, Total Expense, Net P&amp;L and Margin % itself from whatever</t>
  </si>
  <si>
    <t xml:space="preserve">has been entered so far — you never type into those columns.</t>
  </si>
  <si>
    <t xml:space="preserve">The FY Summary tab checks each month's Total Sales: if it's still 0 (nothing entered yet), it</t>
  </si>
  <si>
    <t xml:space="preserve">shows a trend-based estimate and labels the month "Projected" in amber. The moment that month's</t>
  </si>
  <si>
    <t xml:space="preserve">Total Sales becomes greater than 0, FY Summary switches automatically to "Actual" and uses the</t>
  </si>
  <si>
    <t xml:space="preserve">real number instead — no manual switching required.</t>
  </si>
  <si>
    <t xml:space="preserve">Projection method: 3-month trailing average of the months before it (which may themselves be</t>
  </si>
  <si>
    <t xml:space="preserve">projected, so the estimate self-corrects as real data comes in). March is the one exception — it</t>
  </si>
  <si>
    <t xml:space="preserve">falls back to a seasonal reference (last year's same month) instead of a flat average, since a</t>
  </si>
  <si>
    <t xml:space="preserve">trailing average would badly understate a month with a known seasonal spike (e.g. an Eid rush).</t>
  </si>
  <si>
    <t xml:space="preserve">DATA ENTRY RULES (for reusing this with real data)</t>
  </si>
  <si>
    <t xml:space="preserve">- Sales Return: enter as 0 or negative (e.g. -250) — money actually refunded that day.</t>
  </si>
  <si>
    <t xml:space="preserve">- Credit Redeemed: enter as a positive number when a customer whose money was held from an</t>
  </si>
  <si>
    <t xml:space="preserve">  earlier return comes back and takes a product — the released amount counts as that day's</t>
  </si>
  <si>
    <t xml:space="preserve">  sales even though no fresh Cash/GPay payment came in.</t>
  </si>
  <si>
    <t xml:space="preserve">- Gross Profit: entered manually per day, based on markup — not auto-calculated from cost data.</t>
  </si>
  <si>
    <t xml:space="preserve">- Leave a day blank if the shop was closed — don't enter 0 unless sales were genuinely zero.</t>
  </si>
  <si>
    <t xml:space="preserve">- Stock Purchases: log every stock purchase as a new row on the Stock Purchases tab, not on</t>
  </si>
  <si>
    <t xml:space="preserve">  the monthly sales tabs — it rolls up into FY Summary automatically by month.</t>
  </si>
  <si>
    <t xml:space="preserve">SHEETS IN THIS WORKBOOK</t>
  </si>
  <si>
    <t xml:space="preserve">  Cover                 -&gt; how-to-use + contents</t>
  </si>
  <si>
    <t xml:space="preserve">  Dashboard              -&gt; KPIs and full-year charts, always current</t>
  </si>
  <si>
    <t xml:space="preserve">  April 2026 … March 2027 -&gt; one tab per month — this is where daily sales data is entered</t>
  </si>
  <si>
    <t xml:space="preserve">  FY Summary             -&gt; all 12 months rolled up, actual + auto-projected</t>
  </si>
  <si>
    <t xml:space="preserve">  Stock Purchases        -&gt; running log of stock bought, add a row every purchase</t>
  </si>
  <si>
    <t xml:space="preserve">  Data Quality Notes     -&gt; the real-world data issues this template is designed to handle</t>
  </si>
  <si>
    <t xml:space="preserve">ABOUT THE DATA IN THIS COPY</t>
  </si>
  <si>
    <t xml:space="preserve">This copy uses fully fictional shop name, supplier names, and sales figures — built as a portfolio</t>
  </si>
  <si>
    <t xml:space="preserve">case study, not tied to any real business. To reuse it for an actual shop, clear the yellow cells</t>
  </si>
  <si>
    <t xml:space="preserve">in each month tab and start entering real numbers; every formula, chart, and the Dashboard will</t>
  </si>
  <si>
    <t xml:space="preserve">carry on working exactly the same way.</t>
  </si>
  <si>
    <t xml:space="preserve">  Data Quality Notes (from the original file migration)</t>
  </si>
  <si>
    <t xml:space="preserve">Issue</t>
  </si>
  <si>
    <t xml:space="preserve">Finding &amp; how it was handled</t>
  </si>
  <si>
    <t xml:space="preserve">Sales Return vs. Credit Redeemed</t>
  </si>
  <si>
    <t xml:space="preserve">A common manual-ledger mistake is recording refunds and "held credit used later" in the same column with a mixed sign, which silently distorts totals. This template keeps them as two separate columns from day one so nothing gets miscounted.</t>
  </si>
  <si>
    <t xml:space="preserve">Non-numeric entries breaking formulas</t>
  </si>
  <si>
    <t xml:space="preserve">Typing text like "Holiday" or "Closed" into a numeric cell (instead of leaving it blank or 0) breaks every downstream formula in a normal spreadsheet. This template's Notes column exists specifically so a closed day can be documented without touching the number columns.</t>
  </si>
  <si>
    <t xml:space="preserve">Unfilled future months</t>
  </si>
  <si>
    <t xml:space="preserve">Rather than showing blank/zero for months that haven't happened yet, FY Summary estimates them from a trailing 3-month average (or a seasonal reference for a known peak month like an Eid-driven March) and clearly labels them "Projected" until real data is entered.</t>
  </si>
  <si>
    <t xml:space="preserve">Stock purchases tracked separately from daily P&amp;L</t>
  </si>
  <si>
    <t xml:space="preserve">Inventory spend is cash going out, not a same-day operating expense — mixing the two understates a day's real profitability. This template logs purchases on their own tab and rolls them into the monthly view without touching Net P&amp;L.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</si>
</sst>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;[RED]&quot;(₹&quot;#,##0\);\-"/>
    <numFmt numFmtId="166" formatCode="0.0%"/>
    <numFmt numFmtId="167" formatCode="dd\-mmm\-yyyy&quot; (&quot;ddd\)"/>
    <numFmt numFmtId="168" formatCode="\₹#,##0.00;[RED]&quot;(₹&quot;#,##0.00\);\-"/>
    <numFmt numFmtId="169" formatCode="dd\-mmm\-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sz val="13"/>
      <color rgb="FFC9A24B"/>
      <name val="Arial"/>
      <family val="0"/>
      <charset val="1"/>
    </font>
    <font>
      <i val="true"/>
      <sz val="10"/>
      <color rgb="FFE9D8C0"/>
      <name val="Arial"/>
      <family val="0"/>
      <charset val="1"/>
    </font>
    <font>
      <b val="true"/>
      <sz val="12"/>
      <color rgb="FF6B1E3A"/>
      <name val="Arial"/>
      <family val="0"/>
      <charset val="1"/>
    </font>
    <font>
      <sz val="10"/>
      <color rgb="FF2E2E2E"/>
      <name val="Arial"/>
      <family val="0"/>
      <charset val="1"/>
    </font>
    <font>
      <b val="true"/>
      <u val="single"/>
      <sz val="11"/>
      <color rgb="FF6B1E3A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6B1E3A"/>
      <name val="Arial"/>
      <family val="0"/>
      <charset val="1"/>
    </font>
    <font>
      <b val="true"/>
      <sz val="9"/>
      <color rgb="FF6B1E3A"/>
      <name val="Arial"/>
      <family val="0"/>
      <charset val="1"/>
    </font>
    <font>
      <b val="true"/>
      <sz val="16"/>
      <color rgb="FF4A1428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C9A24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A6A5E"/>
      <name val="Arial"/>
      <family val="0"/>
      <charset val="1"/>
    </font>
    <font>
      <sz val="10"/>
      <name val="Arial"/>
      <family val="2"/>
    </font>
    <font>
      <sz val="10"/>
      <color rgb="FF1F4E9C"/>
      <name val="Arial"/>
      <family val="0"/>
      <charset val="1"/>
    </font>
    <font>
      <b val="true"/>
      <sz val="13"/>
      <color rgb="FF6B1E3A"/>
      <name val="Arial"/>
      <family val="0"/>
      <charset val="1"/>
    </font>
    <font>
      <b val="true"/>
      <sz val="11"/>
      <color rgb="FF2E2E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A1428"/>
        <bgColor rgb="FF6B1E3A"/>
      </patternFill>
    </fill>
    <fill>
      <patternFill patternType="solid">
        <fgColor rgb="FFFFFFFF"/>
        <bgColor rgb="FFFBF0E4"/>
      </patternFill>
    </fill>
    <fill>
      <patternFill patternType="solid">
        <fgColor rgb="FF6B1E3A"/>
        <bgColor rgb="FF4A1428"/>
      </patternFill>
    </fill>
    <fill>
      <patternFill patternType="solid">
        <fgColor rgb="FFFBF0E4"/>
        <bgColor rgb="FFF3E7D0"/>
      </patternFill>
    </fill>
    <fill>
      <patternFill patternType="solid">
        <fgColor rgb="FFFFF3B0"/>
        <bgColor rgb="FFF3E7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9A24B"/>
      </left>
      <right style="medium">
        <color rgb="FFC9A24B"/>
      </right>
      <top style="medium">
        <color rgb="FFC9A24B"/>
      </top>
      <bottom style="medium">
        <color rgb="FFC9A24B"/>
      </bottom>
      <diagonal/>
    </border>
    <border diagonalUp="false" diagonalDown="false">
      <left style="thin">
        <color rgb="FFDDD3C7"/>
      </left>
      <right style="thin">
        <color rgb="FFDDD3C7"/>
      </right>
      <top style="thin">
        <color rgb="FFDDD3C7"/>
      </top>
      <bottom style="thin">
        <color rgb="FFDD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03A2E"/>
        <sz val="10"/>
      </font>
    </dxf>
    <dxf>
      <font>
        <name val="Arial"/>
        <charset val="1"/>
        <family val="0"/>
        <b val="1"/>
        <color rgb="FF1E7145"/>
        <sz val="10"/>
      </font>
    </dxf>
    <dxf>
      <fill>
        <patternFill>
          <bgColor rgb="FFF3E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DDD3C7"/>
      <rgbColor rgb="FF878787"/>
      <rgbColor rgb="FF9999FF"/>
      <rgbColor rgb="FF993366"/>
      <rgbColor rgb="FFFBF0E4"/>
      <rgbColor rgb="FFCCFFFF"/>
      <rgbColor rgb="FF6B1E3A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7D0"/>
      <rgbColor rgb="FFFFF3B0"/>
      <rgbColor rgb="FF99CCFF"/>
      <rgbColor rgb="FFFF99CC"/>
      <rgbColor rgb="FFCC99FF"/>
      <rgbColor rgb="FFE9D8C0"/>
      <rgbColor rgb="FF3366FF"/>
      <rgbColor rgb="FF33CCCC"/>
      <rgbColor rgb="FF99CC00"/>
      <rgbColor rgb="FFFFCC00"/>
      <rgbColor rgb="FFC9A24B"/>
      <rgbColor rgb="FFFF6600"/>
      <rgbColor rgb="FF7A6A5E"/>
      <rgbColor rgb="FF999999"/>
      <rgbColor rgb="FF003366"/>
      <rgbColor rgb="FF339966"/>
      <rgbColor rgb="FF003300"/>
      <rgbColor rgb="FF4A1428"/>
      <rgbColor rgb="FFB03A2E"/>
      <rgbColor rgb="FF993366"/>
      <rgbColor rgb="FF1F4E9C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P&amp;L — Actual vs. Projected (₹, FY 2026-27)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'FY Summary'!K4</c:f>
              <c:strCache>
                <c:ptCount val="1"/>
                <c:pt idx="0">
                  <c:v>Net P&amp;L (Actual)</c:v>
                </c:pt>
              </c:strCache>
            </c:strRef>
          </c:tx>
          <c:spPr>
            <a:solidFill>
              <a:srgbClr val="6b1e3a"/>
            </a:solidFill>
            <a:ln w="24840">
              <a:solidFill>
                <a:srgbClr val="6b1e3a"/>
              </a:solidFill>
              <a:round/>
            </a:ln>
          </c:spPr>
          <c:marker>
            <c:symbol val="circle"/>
            <c:size val="6"/>
            <c:spPr>
              <a:solidFill>
                <a:srgbClr val="6b1e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Summary'!$A$5:$A$16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  <c:pt idx="5">
                  <c:v>September 2026</c:v>
                </c:pt>
                <c:pt idx="6">
                  <c:v>October 2026</c:v>
                </c:pt>
                <c:pt idx="7">
                  <c:v>November 2026</c:v>
                </c:pt>
                <c:pt idx="8">
                  <c:v>December 2026</c:v>
                </c:pt>
                <c:pt idx="9">
                  <c:v>January 2027</c:v>
                </c:pt>
                <c:pt idx="10">
                  <c:v>February 2027</c:v>
                </c:pt>
                <c:pt idx="11">
                  <c:v>March 2027</c:v>
                </c:pt>
              </c:strCache>
            </c:strRef>
          </c:cat>
          <c:val>
            <c:numRef>
              <c:f>'FY Summary'!$K$5:$K$16</c:f>
              <c:numCache>
                <c:formatCode>\₹#,##0;[RED]"(₹"#,##0\);\-</c:formatCode>
                <c:ptCount val="12"/>
                <c:pt idx="0">
                  <c:v>-2632.22000000001</c:v>
                </c:pt>
                <c:pt idx="1">
                  <c:v>20707.97</c:v>
                </c:pt>
                <c:pt idx="2">
                  <c:v>-4055.45</c:v>
                </c:pt>
                <c:pt idx="3">
                  <c:v>5776.09</c:v>
                </c:pt>
                <c:pt idx="4">
                  <c:v>16382.1</c:v>
                </c:pt>
                <c:pt idx="5">
                  <c:v>328.620000000003</c:v>
                </c:pt>
                <c:pt idx="6">
                  <c:v>3879.06</c:v>
                </c:pt>
                <c:pt idx="7">
                  <c:v>12970.7</c:v>
                </c:pt>
                <c:pt idx="8">
                  <c:v>20899.09</c:v>
                </c:pt>
                <c:pt idx="9">
                  <c:v>-883.369999999995</c:v>
                </c:pt>
                <c:pt idx="10">
                  <c:v>2188.75</c:v>
                </c:pt>
                <c:pt idx="11">
                  <c:v>58329.07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'FY Summary'!L4</c:f>
              <c:strCache>
                <c:ptCount val="1"/>
                <c:pt idx="0">
                  <c:v>Net P&amp;L (Projected)</c:v>
                </c:pt>
              </c:strCache>
            </c:strRef>
          </c:tx>
          <c:spPr>
            <a:solidFill>
              <a:srgbClr val="c9a24b"/>
            </a:solidFill>
            <a:ln w="24840">
              <a:solidFill>
                <a:srgbClr val="c9a24b"/>
              </a:solidFill>
              <a:prstDash val="dash"/>
              <a:round/>
            </a:ln>
          </c:spPr>
          <c:marker>
            <c:symbol val="diamond"/>
            <c:size val="6"/>
            <c:spPr>
              <a:solidFill>
                <a:srgbClr val="c9a2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Summary'!$A$5:$A$16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  <c:pt idx="5">
                  <c:v>September 2026</c:v>
                </c:pt>
                <c:pt idx="6">
                  <c:v>October 2026</c:v>
                </c:pt>
                <c:pt idx="7">
                  <c:v>November 2026</c:v>
                </c:pt>
                <c:pt idx="8">
                  <c:v>December 2026</c:v>
                </c:pt>
                <c:pt idx="9">
                  <c:v>January 2027</c:v>
                </c:pt>
                <c:pt idx="10">
                  <c:v>February 2027</c:v>
                </c:pt>
                <c:pt idx="11">
                  <c:v>March 2027</c:v>
                </c:pt>
              </c:strCache>
            </c:strRef>
          </c:cat>
          <c:val>
            <c:numRef>
              <c:f>'FY Summary'!$L$5:$L$16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9781060"/>
        <c:axId val="87168995"/>
      </c:lineChart>
      <c:catAx>
        <c:axId val="59781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68995"/>
        <c:crosses val="autoZero"/>
        <c:auto val="1"/>
        <c:lblAlgn val="ctr"/>
        <c:lblOffset val="100"/>
        <c:noMultiLvlLbl val="0"/>
      </c:catAx>
      <c:valAx>
        <c:axId val="87168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81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— Actual vs. Projected (₹, FY 2026-27)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'FY Summary'!M4</c:f>
              <c:strCache>
                <c:ptCount val="1"/>
                <c:pt idx="0">
                  <c:v>Sales (Actual)</c:v>
                </c:pt>
              </c:strCache>
            </c:strRef>
          </c:tx>
          <c:spPr>
            <a:solidFill>
              <a:srgbClr val="6b1e3a"/>
            </a:solidFill>
            <a:ln w="24840">
              <a:solidFill>
                <a:srgbClr val="6b1e3a"/>
              </a:solidFill>
              <a:round/>
            </a:ln>
          </c:spPr>
          <c:marker>
            <c:symbol val="circle"/>
            <c:size val="6"/>
            <c:spPr>
              <a:solidFill>
                <a:srgbClr val="6b1e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Summary'!$A$5:$A$16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  <c:pt idx="5">
                  <c:v>September 2026</c:v>
                </c:pt>
                <c:pt idx="6">
                  <c:v>October 2026</c:v>
                </c:pt>
                <c:pt idx="7">
                  <c:v>November 2026</c:v>
                </c:pt>
                <c:pt idx="8">
                  <c:v>December 2026</c:v>
                </c:pt>
                <c:pt idx="9">
                  <c:v>January 2027</c:v>
                </c:pt>
                <c:pt idx="10">
                  <c:v>February 2027</c:v>
                </c:pt>
                <c:pt idx="11">
                  <c:v>March 2027</c:v>
                </c:pt>
              </c:strCache>
            </c:strRef>
          </c:cat>
          <c:val>
            <c:numRef>
              <c:f>'FY Summary'!$M$5:$M$16</c:f>
              <c:numCache>
                <c:formatCode>\₹#,##0;[RED]"(₹"#,##0\);\-</c:formatCode>
                <c:ptCount val="12"/>
                <c:pt idx="0">
                  <c:v>87824</c:v>
                </c:pt>
                <c:pt idx="1">
                  <c:v>151835</c:v>
                </c:pt>
                <c:pt idx="2">
                  <c:v>71403</c:v>
                </c:pt>
                <c:pt idx="3">
                  <c:v>110453</c:v>
                </c:pt>
                <c:pt idx="4">
                  <c:v>132150</c:v>
                </c:pt>
                <c:pt idx="5">
                  <c:v>94307</c:v>
                </c:pt>
                <c:pt idx="6">
                  <c:v>101223</c:v>
                </c:pt>
                <c:pt idx="7">
                  <c:v>118372</c:v>
                </c:pt>
                <c:pt idx="8">
                  <c:v>142075</c:v>
                </c:pt>
                <c:pt idx="9">
                  <c:v>91879</c:v>
                </c:pt>
                <c:pt idx="10">
                  <c:v>97894</c:v>
                </c:pt>
                <c:pt idx="11">
                  <c:v>266767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'FY Summary'!N4</c:f>
              <c:strCache>
                <c:ptCount val="1"/>
                <c:pt idx="0">
                  <c:v>Sales (Projected)</c:v>
                </c:pt>
              </c:strCache>
            </c:strRef>
          </c:tx>
          <c:spPr>
            <a:solidFill>
              <a:srgbClr val="c9a24b"/>
            </a:solidFill>
            <a:ln w="24840">
              <a:solidFill>
                <a:srgbClr val="c9a24b"/>
              </a:solidFill>
              <a:prstDash val="dash"/>
              <a:round/>
            </a:ln>
          </c:spPr>
          <c:marker>
            <c:symbol val="diamond"/>
            <c:size val="6"/>
            <c:spPr>
              <a:solidFill>
                <a:srgbClr val="c9a2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Summary'!$A$5:$A$16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  <c:pt idx="5">
                  <c:v>September 2026</c:v>
                </c:pt>
                <c:pt idx="6">
                  <c:v>October 2026</c:v>
                </c:pt>
                <c:pt idx="7">
                  <c:v>November 2026</c:v>
                </c:pt>
                <c:pt idx="8">
                  <c:v>December 2026</c:v>
                </c:pt>
                <c:pt idx="9">
                  <c:v>January 2027</c:v>
                </c:pt>
                <c:pt idx="10">
                  <c:v>February 2027</c:v>
                </c:pt>
                <c:pt idx="11">
                  <c:v>March 2027</c:v>
                </c:pt>
              </c:strCache>
            </c:strRef>
          </c:cat>
          <c:val>
            <c:numRef>
              <c:f>'FY Summary'!$N$5:$N$16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5497013"/>
        <c:axId val="37567852"/>
      </c:lineChart>
      <c:catAx>
        <c:axId val="454970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67852"/>
        <c:crosses val="autoZero"/>
        <c:auto val="1"/>
        <c:lblAlgn val="ctr"/>
        <c:lblOffset val="100"/>
        <c:noMultiLvlLbl val="0"/>
      </c:catAx>
      <c:valAx>
        <c:axId val="37567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970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 % — Full FY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'FY Summary'!G4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6b1e3a"/>
            </a:solidFill>
            <a:ln w="24840">
              <a:solidFill>
                <a:srgbClr val="6b1e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Summary'!$A$5:$A$16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  <c:pt idx="5">
                  <c:v>September 2026</c:v>
                </c:pt>
                <c:pt idx="6">
                  <c:v>October 2026</c:v>
                </c:pt>
                <c:pt idx="7">
                  <c:v>November 2026</c:v>
                </c:pt>
                <c:pt idx="8">
                  <c:v>December 2026</c:v>
                </c:pt>
                <c:pt idx="9">
                  <c:v>January 2027</c:v>
                </c:pt>
                <c:pt idx="10">
                  <c:v>February 2027</c:v>
                </c:pt>
                <c:pt idx="11">
                  <c:v>March 2027</c:v>
                </c:pt>
              </c:strCache>
            </c:strRef>
          </c:cat>
          <c:val>
            <c:numRef>
              <c:f>'FY Summary'!$G$5:$G$16</c:f>
              <c:numCache>
                <c:formatCode>0.0%</c:formatCode>
                <c:ptCount val="12"/>
                <c:pt idx="0">
                  <c:v>0.336650801603206</c:v>
                </c:pt>
                <c:pt idx="1">
                  <c:v>0.337216452069681</c:v>
                </c:pt>
                <c:pt idx="2">
                  <c:v>0.337047603041889</c:v>
                </c:pt>
                <c:pt idx="3">
                  <c:v>0.337451585742352</c:v>
                </c:pt>
                <c:pt idx="4">
                  <c:v>0.339131744230042</c:v>
                </c:pt>
                <c:pt idx="5">
                  <c:v>0.337071055170878</c:v>
                </c:pt>
                <c:pt idx="6">
                  <c:v>0.337525068413305</c:v>
                </c:pt>
                <c:pt idx="7">
                  <c:v>0.344812793566046</c:v>
                </c:pt>
                <c:pt idx="8">
                  <c:v>0.347678338905508</c:v>
                </c:pt>
                <c:pt idx="9">
                  <c:v>0.338186201417081</c:v>
                </c:pt>
                <c:pt idx="10">
                  <c:v>0.342915091834025</c:v>
                </c:pt>
                <c:pt idx="11">
                  <c:v>0.340051093276155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392249"/>
        <c:axId val="44178178"/>
      </c:lineChart>
      <c:catAx>
        <c:axId val="36392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78178"/>
        <c:crosses val="autoZero"/>
        <c:auto val="1"/>
        <c:lblAlgn val="ctr"/>
        <c:lblOffset val="100"/>
        <c:noMultiLvlLbl val="0"/>
      </c:catAx>
      <c:valAx>
        <c:axId val="44178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922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Profit vs. Total Expense — Full FY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'FY Summary'!D4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6b1e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Summary'!$A$5:$A$16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  <c:pt idx="5">
                  <c:v>September 2026</c:v>
                </c:pt>
                <c:pt idx="6">
                  <c:v>October 2026</c:v>
                </c:pt>
                <c:pt idx="7">
                  <c:v>November 2026</c:v>
                </c:pt>
                <c:pt idx="8">
                  <c:v>December 2026</c:v>
                </c:pt>
                <c:pt idx="9">
                  <c:v>January 2027</c:v>
                </c:pt>
                <c:pt idx="10">
                  <c:v>February 2027</c:v>
                </c:pt>
                <c:pt idx="11">
                  <c:v>March 2027</c:v>
                </c:pt>
              </c:strCache>
            </c:strRef>
          </c:cat>
          <c:val>
            <c:numRef>
              <c:f>'FY Summary'!$D$5:$D$16</c:f>
              <c:numCache>
                <c:formatCode>\₹#,##0;[RED]"(₹"#,##0\);\-</c:formatCode>
                <c:ptCount val="12"/>
                <c:pt idx="0">
                  <c:v>29566.02</c:v>
                </c:pt>
                <c:pt idx="1">
                  <c:v>51201.26</c:v>
                </c:pt>
                <c:pt idx="2">
                  <c:v>24066.21</c:v>
                </c:pt>
                <c:pt idx="3">
                  <c:v>37272.54</c:v>
                </c:pt>
                <c:pt idx="4">
                  <c:v>44816.26</c:v>
                </c:pt>
                <c:pt idx="5">
                  <c:v>31788.16</c:v>
                </c:pt>
                <c:pt idx="6">
                  <c:v>34165.3</c:v>
                </c:pt>
                <c:pt idx="7">
                  <c:v>40816.18</c:v>
                </c:pt>
                <c:pt idx="8">
                  <c:v>49396.4</c:v>
                </c:pt>
                <c:pt idx="9">
                  <c:v>31072.21</c:v>
                </c:pt>
                <c:pt idx="10">
                  <c:v>33569.33</c:v>
                </c:pt>
                <c:pt idx="11">
                  <c:v>90714.41</c:v>
                </c:pt>
              </c:numCache>
            </c:numRef>
          </c:val>
        </c:ser>
        <c:ser>
          <c:idx val="1"/>
          <c:order val="1"/>
          <c:tx>
            <c:strRef>
              <c:f>'FY Summary'!E4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rgbClr val="c9a2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'FY Summary'!$A$5:$A$16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  <c:pt idx="5">
                  <c:v>September 2026</c:v>
                </c:pt>
                <c:pt idx="6">
                  <c:v>October 2026</c:v>
                </c:pt>
                <c:pt idx="7">
                  <c:v>November 2026</c:v>
                </c:pt>
                <c:pt idx="8">
                  <c:v>December 2026</c:v>
                </c:pt>
                <c:pt idx="9">
                  <c:v>January 2027</c:v>
                </c:pt>
                <c:pt idx="10">
                  <c:v>February 2027</c:v>
                </c:pt>
                <c:pt idx="11">
                  <c:v>March 2027</c:v>
                </c:pt>
              </c:strCache>
            </c:strRef>
          </c:cat>
          <c:val>
            <c:numRef>
              <c:f>'FY Summary'!$E$5:$E$16</c:f>
              <c:numCache>
                <c:formatCode>\₹#,##0;[RED]"(₹"#,##0\);\-</c:formatCode>
                <c:ptCount val="12"/>
                <c:pt idx="0">
                  <c:v>32198.24</c:v>
                </c:pt>
                <c:pt idx="1">
                  <c:v>30493.29</c:v>
                </c:pt>
                <c:pt idx="2">
                  <c:v>28121.66</c:v>
                </c:pt>
                <c:pt idx="3">
                  <c:v>31496.45</c:v>
                </c:pt>
                <c:pt idx="4">
                  <c:v>28434.16</c:v>
                </c:pt>
                <c:pt idx="5">
                  <c:v>31459.54</c:v>
                </c:pt>
                <c:pt idx="6">
                  <c:v>30286.24</c:v>
                </c:pt>
                <c:pt idx="7">
                  <c:v>27845.48</c:v>
                </c:pt>
                <c:pt idx="8">
                  <c:v>28497.31</c:v>
                </c:pt>
                <c:pt idx="9">
                  <c:v>31955.58</c:v>
                </c:pt>
                <c:pt idx="10">
                  <c:v>31380.58</c:v>
                </c:pt>
                <c:pt idx="11">
                  <c:v>32385.34</c:v>
                </c:pt>
              </c:numCache>
            </c:numRef>
          </c:val>
        </c:ser>
        <c:gapWidth val="150"/>
        <c:overlap val="0"/>
        <c:axId val="81331152"/>
        <c:axId val="74288256"/>
      </c:barChart>
      <c:catAx>
        <c:axId val="8133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88256"/>
        <c:crosses val="autoZero"/>
        <c:auto val="1"/>
        <c:lblAlgn val="ctr"/>
        <c:lblOffset val="100"/>
        <c:noMultiLvlLbl val="0"/>
      </c:catAx>
      <c:valAx>
        <c:axId val="74288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[RED]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31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136080</xdr:colOff>
      <xdr:row>25</xdr:row>
      <xdr:rowOff>1440</xdr:rowOff>
    </xdr:to>
    <xdr:graphicFrame>
      <xdr:nvGraphicFramePr>
        <xdr:cNvPr id="0" name="Chart 1"/>
        <xdr:cNvGraphicFramePr/>
      </xdr:nvGraphicFramePr>
      <xdr:xfrm>
        <a:off x="0" y="19432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15</xdr:col>
      <xdr:colOff>136080</xdr:colOff>
      <xdr:row>25</xdr:row>
      <xdr:rowOff>1440</xdr:rowOff>
    </xdr:to>
    <xdr:graphicFrame>
      <xdr:nvGraphicFramePr>
        <xdr:cNvPr id="1" name="Chart 2"/>
        <xdr:cNvGraphicFramePr/>
      </xdr:nvGraphicFramePr>
      <xdr:xfrm>
        <a:off x="9515520" y="19432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6</xdr:col>
      <xdr:colOff>136080</xdr:colOff>
      <xdr:row>43</xdr:row>
      <xdr:rowOff>1440</xdr:rowOff>
    </xdr:to>
    <xdr:graphicFrame>
      <xdr:nvGraphicFramePr>
        <xdr:cNvPr id="2" name="Chart 3"/>
        <xdr:cNvGraphicFramePr/>
      </xdr:nvGraphicFramePr>
      <xdr:xfrm>
        <a:off x="0" y="53722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15</xdr:col>
      <xdr:colOff>136080</xdr:colOff>
      <xdr:row>43</xdr:row>
      <xdr:rowOff>1440</xdr:rowOff>
    </xdr:to>
    <xdr:graphicFrame>
      <xdr:nvGraphicFramePr>
        <xdr:cNvPr id="3" name="Chart 4"/>
        <xdr:cNvGraphicFramePr/>
      </xdr:nvGraphicFramePr>
      <xdr:xfrm>
        <a:off x="9515520" y="53722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URA_Sales_Tracker_Portfolio.xlsx" TargetMode="External"/><Relationship Id="rId2" Type="http://schemas.openxmlformats.org/officeDocument/2006/relationships/hyperlink" Target="AURA_Sales_Tracker_Portfolio.xlsx" TargetMode="External"/><Relationship Id="rId3" Type="http://schemas.openxmlformats.org/officeDocument/2006/relationships/hyperlink" Target="AURA_Sales_Tracker_Portfolio.xlsx" TargetMode="External"/><Relationship Id="rId4" Type="http://schemas.openxmlformats.org/officeDocument/2006/relationships/hyperlink" Target="AURA_Sales_Tracker_Portfolio.xlsx" TargetMode="External"/><Relationship Id="rId5" Type="http://schemas.openxmlformats.org/officeDocument/2006/relationships/hyperlink" Target="AURA_Sales_Tracker_Portfoli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0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1"/>
    </row>
    <row r="3" customFormat="false" ht="16.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4" t="s">
        <v>2</v>
      </c>
      <c r="C4" s="4"/>
      <c r="D4" s="4"/>
      <c r="E4" s="4"/>
      <c r="F4" s="4"/>
      <c r="G4" s="4"/>
      <c r="H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9" customFormat="false" ht="15" hidden="false" customHeight="false" outlineLevel="0" collapsed="false">
      <c r="B9" s="5" t="s">
        <v>3</v>
      </c>
    </row>
    <row r="10" customFormat="false" ht="15" hidden="false" customHeight="false" outlineLevel="0" collapsed="false">
      <c r="B10" s="6" t="s">
        <v>4</v>
      </c>
      <c r="C10" s="6"/>
      <c r="D10" s="6"/>
      <c r="E10" s="6"/>
      <c r="F10" s="6"/>
      <c r="G10" s="6"/>
    </row>
    <row r="11" customFormat="false" ht="15" hidden="false" customHeight="false" outlineLevel="0" collapsed="false">
      <c r="B11" s="6" t="s">
        <v>5</v>
      </c>
      <c r="C11" s="6"/>
      <c r="D11" s="6"/>
      <c r="E11" s="6"/>
      <c r="F11" s="6"/>
      <c r="G11" s="6"/>
    </row>
    <row r="12" customFormat="false" ht="15" hidden="false" customHeight="false" outlineLevel="0" collapsed="false">
      <c r="B12" s="6" t="s">
        <v>6</v>
      </c>
      <c r="C12" s="6"/>
      <c r="D12" s="6"/>
      <c r="E12" s="6"/>
      <c r="F12" s="6"/>
      <c r="G12" s="6"/>
    </row>
    <row r="13" customFormat="false" ht="15" hidden="false" customHeight="false" outlineLevel="0" collapsed="false">
      <c r="B13" s="6" t="s">
        <v>7</v>
      </c>
      <c r="C13" s="6"/>
      <c r="D13" s="6"/>
      <c r="E13" s="6"/>
      <c r="F13" s="6"/>
      <c r="G13" s="6"/>
    </row>
    <row r="14" customFormat="false" ht="15" hidden="false" customHeight="false" outlineLevel="0" collapsed="false">
      <c r="B14" s="6" t="s">
        <v>8</v>
      </c>
      <c r="C14" s="6"/>
      <c r="D14" s="6"/>
      <c r="E14" s="6"/>
      <c r="F14" s="6"/>
      <c r="G14" s="6"/>
    </row>
    <row r="15" customFormat="false" ht="15" hidden="false" customHeight="false" outlineLevel="0" collapsed="false">
      <c r="B15" s="6" t="s">
        <v>9</v>
      </c>
      <c r="C15" s="6"/>
      <c r="D15" s="6"/>
      <c r="E15" s="6"/>
      <c r="F15" s="6"/>
      <c r="G15" s="6"/>
    </row>
    <row r="16" customFormat="false" ht="15" hidden="false" customHeight="false" outlineLevel="0" collapsed="false">
      <c r="B16" s="6" t="s">
        <v>10</v>
      </c>
      <c r="C16" s="6"/>
      <c r="D16" s="6"/>
      <c r="E16" s="6"/>
      <c r="F16" s="6"/>
      <c r="G16" s="6"/>
    </row>
    <row r="17" customFormat="false" ht="15" hidden="false" customHeight="false" outlineLevel="0" collapsed="false">
      <c r="B17" s="6" t="s">
        <v>11</v>
      </c>
      <c r="C17" s="6"/>
      <c r="D17" s="6"/>
      <c r="E17" s="6"/>
      <c r="F17" s="6"/>
      <c r="G17" s="6"/>
    </row>
    <row r="18" customFormat="false" ht="15" hidden="false" customHeight="false" outlineLevel="0" collapsed="false">
      <c r="B18" s="6" t="s">
        <v>12</v>
      </c>
      <c r="C18" s="6"/>
      <c r="D18" s="6"/>
      <c r="E18" s="6"/>
      <c r="F18" s="6"/>
      <c r="G18" s="6"/>
    </row>
    <row r="20" customFormat="false" ht="15" hidden="false" customHeight="false" outlineLevel="0" collapsed="false">
      <c r="B20" s="5" t="s">
        <v>13</v>
      </c>
    </row>
    <row r="21" customFormat="false" ht="15" hidden="false" customHeight="false" outlineLevel="0" collapsed="false">
      <c r="B21" s="7" t="s">
        <v>14</v>
      </c>
      <c r="C21" s="6" t="s">
        <v>15</v>
      </c>
      <c r="D21" s="6"/>
      <c r="E21" s="6"/>
      <c r="F21" s="6"/>
      <c r="G21" s="6"/>
    </row>
    <row r="22" customFormat="false" ht="15" hidden="false" customHeight="false" outlineLevel="0" collapsed="false">
      <c r="B22" s="7" t="s">
        <v>16</v>
      </c>
      <c r="C22" s="6" t="s">
        <v>17</v>
      </c>
      <c r="D22" s="6"/>
      <c r="E22" s="6"/>
      <c r="F22" s="6"/>
      <c r="G22" s="6"/>
    </row>
    <row r="23" customFormat="false" ht="15" hidden="false" customHeight="false" outlineLevel="0" collapsed="false">
      <c r="B23" s="7" t="s">
        <v>18</v>
      </c>
      <c r="C23" s="6" t="s">
        <v>19</v>
      </c>
      <c r="D23" s="6"/>
      <c r="E23" s="6"/>
      <c r="F23" s="6"/>
      <c r="G23" s="6"/>
    </row>
    <row r="24" customFormat="false" ht="15" hidden="false" customHeight="false" outlineLevel="0" collapsed="false">
      <c r="B24" s="7" t="s">
        <v>20</v>
      </c>
      <c r="C24" s="6" t="s">
        <v>21</v>
      </c>
      <c r="D24" s="6"/>
      <c r="E24" s="6"/>
      <c r="F24" s="6"/>
      <c r="G24" s="6"/>
    </row>
    <row r="25" customFormat="false" ht="15" hidden="false" customHeight="false" outlineLevel="0" collapsed="false">
      <c r="B25" s="7" t="s">
        <v>22</v>
      </c>
      <c r="C25" s="6" t="s">
        <v>23</v>
      </c>
      <c r="D25" s="6"/>
      <c r="E25" s="6"/>
      <c r="F25" s="6"/>
      <c r="G25" s="6"/>
    </row>
  </sheetData>
  <mergeCells count="17">
    <mergeCell ref="B2:G2"/>
    <mergeCell ref="B3:G3"/>
    <mergeCell ref="B4:G4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C21:G21"/>
    <mergeCell ref="C22:G22"/>
    <mergeCell ref="C23:G23"/>
    <mergeCell ref="C24:G24"/>
    <mergeCell ref="C25:G25"/>
  </mergeCells>
  <hyperlinks>
    <hyperlink ref="B21" r:id="rId1" location="'Dashboard'!A1" display="Dashboard"/>
    <hyperlink ref="B22" r:id="rId2" location="'FY%20Summary'!A1" display="FY Summary"/>
    <hyperlink ref="B23" r:id="rId3" location="'October%202026'!A1" display="April 2026 … March 2027"/>
    <hyperlink ref="B24" r:id="rId4" location="'Data%20Quality%20Notes'!A1" display="Data Quality Notes"/>
    <hyperlink ref="B25" r:id="rId5" location="'README'!A1" display="READ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5"/>
  </cols>
  <sheetData>
    <row r="1" customFormat="false" ht="30" hidden="false" customHeight="true" outlineLevel="0" collapsed="false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A3" s="9" t="s">
        <v>25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customFormat="false" ht="18" hidden="false" customHeight="true" outlineLevel="0" collapsed="false">
      <c r="A5" s="10" t="s">
        <v>26</v>
      </c>
      <c r="B5" s="10"/>
      <c r="D5" s="10" t="s">
        <v>27</v>
      </c>
      <c r="E5" s="10"/>
      <c r="G5" s="10" t="s">
        <v>28</v>
      </c>
      <c r="H5" s="10"/>
      <c r="J5" s="10" t="s">
        <v>29</v>
      </c>
      <c r="K5" s="10"/>
      <c r="M5" s="10" t="s">
        <v>30</v>
      </c>
      <c r="N5" s="10"/>
    </row>
    <row r="6" customFormat="false" ht="30" hidden="false" customHeight="true" outlineLevel="0" collapsed="false">
      <c r="A6" s="11" t="n">
        <f aca="false">'FY Summary'!C18</f>
        <v>1466182</v>
      </c>
      <c r="B6" s="11"/>
      <c r="D6" s="11" t="n">
        <f aca="false">'FY Summary'!F18</f>
        <v>133890.41</v>
      </c>
      <c r="E6" s="11"/>
      <c r="G6" s="12" t="str">
        <f aca="false">COUNTIF('FY Summary'!B5:B16,"Actual")&amp;" of 12"</f>
        <v>12 of 12</v>
      </c>
      <c r="H6" s="12"/>
      <c r="J6" s="13" t="n">
        <f aca="false">'FY Summary'!G18</f>
        <v>0.339960714290586</v>
      </c>
      <c r="K6" s="13"/>
      <c r="M6" s="12" t="str">
        <f aca="false">INDEX('FY Summary'!A5:A16,MATCH(MAX('FY Summary'!F5:F16),'FY Summary'!F5:F16,0))</f>
        <v>March 2027</v>
      </c>
      <c r="N6" s="12"/>
    </row>
    <row r="7" customFormat="false" ht="15" hidden="false" customHeight="false" outlineLevel="0" collapsed="false">
      <c r="A7" s="11"/>
      <c r="B7" s="11"/>
      <c r="D7" s="11"/>
      <c r="E7" s="11"/>
      <c r="G7" s="12"/>
      <c r="H7" s="12"/>
      <c r="J7" s="13"/>
      <c r="K7" s="13"/>
      <c r="M7" s="12"/>
      <c r="N7" s="12"/>
    </row>
    <row r="45" customFormat="false" ht="15" hidden="false" customHeight="false" outlineLevel="0" collapsed="false">
      <c r="A45" s="14" t="s">
        <v>31</v>
      </c>
    </row>
  </sheetData>
  <mergeCells count="12">
    <mergeCell ref="A1:N2"/>
    <mergeCell ref="A3:N3"/>
    <mergeCell ref="A5:B5"/>
    <mergeCell ref="D5:E5"/>
    <mergeCell ref="G5:H5"/>
    <mergeCell ref="J5:K5"/>
    <mergeCell ref="M5:N5"/>
    <mergeCell ref="A6:B7"/>
    <mergeCell ref="D6:E7"/>
    <mergeCell ref="G6:H7"/>
    <mergeCell ref="J6:K7"/>
    <mergeCell ref="M6:N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46113</v>
      </c>
      <c r="B6" s="18" t="n">
        <v>624</v>
      </c>
      <c r="C6" s="18" t="n">
        <v>1761</v>
      </c>
      <c r="D6" s="18" t="n">
        <v>0</v>
      </c>
      <c r="E6" s="18" t="n">
        <v>0</v>
      </c>
      <c r="F6" s="19" t="n">
        <f aca="false">B6+C6+D6+E6</f>
        <v>2385</v>
      </c>
      <c r="G6" s="18" t="n">
        <v>771.44</v>
      </c>
      <c r="H6" s="18" t="n">
        <v>70</v>
      </c>
      <c r="I6" s="18" t="n">
        <v>330.63</v>
      </c>
      <c r="J6" s="18" t="n">
        <v>0</v>
      </c>
      <c r="K6" s="18" t="n">
        <v>684.46</v>
      </c>
      <c r="L6" s="18" t="n">
        <v>0</v>
      </c>
      <c r="M6" s="19" t="n">
        <f aca="false">SUM(H6:L6)</f>
        <v>1085.09</v>
      </c>
      <c r="N6" s="19" t="n">
        <f aca="false">G6-M6</f>
        <v>-313.65</v>
      </c>
      <c r="O6" s="20" t="n">
        <f aca="false">IFERROR(G6/F6,0)</f>
        <v>0.323454926624738</v>
      </c>
      <c r="P6" s="21"/>
    </row>
    <row r="7" customFormat="false" ht="15" hidden="false" customHeight="false" outlineLevel="0" collapsed="false">
      <c r="A7" s="22" t="n">
        <v>46114</v>
      </c>
      <c r="B7" s="23" t="n">
        <v>1009</v>
      </c>
      <c r="C7" s="23" t="n">
        <v>2309</v>
      </c>
      <c r="D7" s="23" t="n">
        <v>-661</v>
      </c>
      <c r="E7" s="23" t="n">
        <v>0</v>
      </c>
      <c r="F7" s="24" t="n">
        <f aca="false">B7+C7+D7+E7</f>
        <v>2657</v>
      </c>
      <c r="G7" s="23" t="n">
        <v>811.88</v>
      </c>
      <c r="H7" s="23" t="n">
        <v>70</v>
      </c>
      <c r="I7" s="23" t="n">
        <v>330.63</v>
      </c>
      <c r="J7" s="23" t="n">
        <v>0</v>
      </c>
      <c r="K7" s="23" t="n">
        <v>684.46</v>
      </c>
      <c r="L7" s="23" t="n">
        <v>0</v>
      </c>
      <c r="M7" s="24" t="n">
        <f aca="false">SUM(H7:L7)</f>
        <v>1085.09</v>
      </c>
      <c r="N7" s="24" t="n">
        <f aca="false">G7-M7</f>
        <v>-273.21</v>
      </c>
      <c r="O7" s="25" t="n">
        <f aca="false">IFERROR(G7/F7,0)</f>
        <v>0.30556266465939</v>
      </c>
      <c r="P7" s="26"/>
    </row>
    <row r="8" customFormat="false" ht="15" hidden="false" customHeight="false" outlineLevel="0" collapsed="false">
      <c r="A8" s="17" t="n">
        <v>46115</v>
      </c>
      <c r="B8" s="18" t="n">
        <v>1387</v>
      </c>
      <c r="C8" s="18" t="n">
        <v>2100</v>
      </c>
      <c r="D8" s="18" t="n">
        <v>0</v>
      </c>
      <c r="E8" s="18" t="n">
        <v>0</v>
      </c>
      <c r="F8" s="19" t="n">
        <f aca="false">B8+C8+D8+E8</f>
        <v>3487</v>
      </c>
      <c r="G8" s="18" t="n">
        <v>1284.7</v>
      </c>
      <c r="H8" s="18" t="n">
        <v>70</v>
      </c>
      <c r="I8" s="18" t="n">
        <v>330.63</v>
      </c>
      <c r="J8" s="18" t="n">
        <v>0</v>
      </c>
      <c r="K8" s="18" t="n">
        <v>684.46</v>
      </c>
      <c r="L8" s="18" t="n">
        <v>0</v>
      </c>
      <c r="M8" s="19" t="n">
        <f aca="false">SUM(H8:L8)</f>
        <v>1085.09</v>
      </c>
      <c r="N8" s="19" t="n">
        <f aca="false">G8-M8</f>
        <v>199.61</v>
      </c>
      <c r="O8" s="20" t="n">
        <f aca="false">IFERROR(G8/F8,0)</f>
        <v>0.36842558072842</v>
      </c>
      <c r="P8" s="21"/>
    </row>
    <row r="9" customFormat="false" ht="15" hidden="false" customHeight="false" outlineLevel="0" collapsed="false">
      <c r="A9" s="22" t="n">
        <v>46116</v>
      </c>
      <c r="B9" s="23" t="n">
        <v>1042</v>
      </c>
      <c r="C9" s="23" t="n">
        <v>2234</v>
      </c>
      <c r="D9" s="23" t="n">
        <v>0</v>
      </c>
      <c r="E9" s="23" t="n">
        <v>0</v>
      </c>
      <c r="F9" s="24" t="n">
        <f aca="false">B9+C9+D9+E9</f>
        <v>3276</v>
      </c>
      <c r="G9" s="23" t="n">
        <v>1201.4</v>
      </c>
      <c r="H9" s="23" t="n">
        <v>70</v>
      </c>
      <c r="I9" s="23" t="n">
        <v>330.63</v>
      </c>
      <c r="J9" s="23" t="n">
        <v>0</v>
      </c>
      <c r="K9" s="23" t="n">
        <v>684.46</v>
      </c>
      <c r="L9" s="23" t="n">
        <v>0</v>
      </c>
      <c r="M9" s="24" t="n">
        <f aca="false">SUM(H9:L9)</f>
        <v>1085.09</v>
      </c>
      <c r="N9" s="24" t="n">
        <f aca="false">G9-M9</f>
        <v>116.31</v>
      </c>
      <c r="O9" s="25" t="n">
        <f aca="false">IFERROR(G9/F9,0)</f>
        <v>0.366727716727717</v>
      </c>
      <c r="P9" s="26"/>
    </row>
    <row r="10" customFormat="false" ht="15" hidden="false" customHeight="false" outlineLevel="0" collapsed="false">
      <c r="A10" s="17" t="n">
        <v>46117</v>
      </c>
      <c r="B10" s="18" t="n">
        <v>707</v>
      </c>
      <c r="C10" s="18" t="n">
        <v>1309</v>
      </c>
      <c r="D10" s="18" t="n">
        <v>0</v>
      </c>
      <c r="E10" s="18" t="n">
        <v>0</v>
      </c>
      <c r="F10" s="19" t="n">
        <f aca="false">B10+C10+D10+E10</f>
        <v>2016</v>
      </c>
      <c r="G10" s="18" t="n">
        <v>717.99</v>
      </c>
      <c r="H10" s="18" t="n">
        <v>70</v>
      </c>
      <c r="I10" s="18" t="n">
        <v>330.63</v>
      </c>
      <c r="J10" s="18" t="n">
        <v>0</v>
      </c>
      <c r="K10" s="18" t="n">
        <v>684.46</v>
      </c>
      <c r="L10" s="18" t="n">
        <v>63</v>
      </c>
      <c r="M10" s="19" t="n">
        <f aca="false">SUM(H10:L10)</f>
        <v>1148.09</v>
      </c>
      <c r="N10" s="19" t="n">
        <f aca="false">G10-M10</f>
        <v>-430.1</v>
      </c>
      <c r="O10" s="20" t="n">
        <f aca="false">IFERROR(G10/F10,0)</f>
        <v>0.356145833333333</v>
      </c>
      <c r="P10" s="21"/>
    </row>
    <row r="11" customFormat="false" ht="15" hidden="false" customHeight="false" outlineLevel="0" collapsed="false">
      <c r="A11" s="22" t="n">
        <v>46118</v>
      </c>
      <c r="B11" s="23" t="n">
        <v>1095</v>
      </c>
      <c r="C11" s="23" t="n">
        <v>2222</v>
      </c>
      <c r="D11" s="23" t="n">
        <v>0</v>
      </c>
      <c r="E11" s="23" t="n">
        <v>0</v>
      </c>
      <c r="F11" s="24" t="n">
        <f aca="false">B11+C11+D11+E11</f>
        <v>3317</v>
      </c>
      <c r="G11" s="23" t="n">
        <v>1060.06</v>
      </c>
      <c r="H11" s="23" t="n">
        <v>70</v>
      </c>
      <c r="I11" s="23" t="n">
        <v>330.63</v>
      </c>
      <c r="J11" s="23" t="n">
        <v>0</v>
      </c>
      <c r="K11" s="23" t="n">
        <v>684.46</v>
      </c>
      <c r="L11" s="23" t="n">
        <v>0</v>
      </c>
      <c r="M11" s="24" t="n">
        <f aca="false">SUM(H11:L11)</f>
        <v>1085.09</v>
      </c>
      <c r="N11" s="24" t="n">
        <f aca="false">G11-M11</f>
        <v>-25.0300000000002</v>
      </c>
      <c r="O11" s="25" t="n">
        <f aca="false">IFERROR(G11/F11,0)</f>
        <v>0.319583961410913</v>
      </c>
      <c r="P11" s="26"/>
    </row>
    <row r="12" customFormat="false" ht="15" hidden="false" customHeight="false" outlineLevel="0" collapsed="false">
      <c r="A12" s="17" t="n">
        <v>46119</v>
      </c>
      <c r="B12" s="18" t="n">
        <v>1177</v>
      </c>
      <c r="C12" s="18" t="n">
        <v>1850</v>
      </c>
      <c r="D12" s="18" t="n">
        <v>0</v>
      </c>
      <c r="E12" s="18" t="n">
        <v>0</v>
      </c>
      <c r="F12" s="19" t="n">
        <f aca="false">B12+C12+D12+E12</f>
        <v>3027</v>
      </c>
      <c r="G12" s="18" t="n">
        <v>1074.75</v>
      </c>
      <c r="H12" s="18" t="n">
        <v>70</v>
      </c>
      <c r="I12" s="18" t="n">
        <v>330.63</v>
      </c>
      <c r="J12" s="18" t="n">
        <v>0</v>
      </c>
      <c r="K12" s="18" t="n">
        <v>684.46</v>
      </c>
      <c r="L12" s="18" t="n">
        <v>0</v>
      </c>
      <c r="M12" s="19" t="n">
        <f aca="false">SUM(H12:L12)</f>
        <v>1085.09</v>
      </c>
      <c r="N12" s="19" t="n">
        <f aca="false">G12-M12</f>
        <v>-10.3400000000001</v>
      </c>
      <c r="O12" s="20" t="n">
        <f aca="false">IFERROR(G12/F12,0)</f>
        <v>0.355054509415263</v>
      </c>
      <c r="P12" s="21"/>
    </row>
    <row r="13" customFormat="false" ht="15" hidden="false" customHeight="false" outlineLevel="0" collapsed="false">
      <c r="A13" s="22" t="n">
        <v>46120</v>
      </c>
      <c r="B13" s="23" t="n">
        <v>1130</v>
      </c>
      <c r="C13" s="23" t="n">
        <v>1964</v>
      </c>
      <c r="D13" s="23" t="n">
        <v>0</v>
      </c>
      <c r="E13" s="23" t="n">
        <v>0</v>
      </c>
      <c r="F13" s="24" t="n">
        <f aca="false">B13+C13+D13+E13</f>
        <v>3094</v>
      </c>
      <c r="G13" s="23" t="n">
        <v>942.05</v>
      </c>
      <c r="H13" s="23" t="n">
        <v>70</v>
      </c>
      <c r="I13" s="23" t="n">
        <v>330.63</v>
      </c>
      <c r="J13" s="23" t="n">
        <v>0</v>
      </c>
      <c r="K13" s="23" t="n">
        <v>684.46</v>
      </c>
      <c r="L13" s="23" t="n">
        <v>0</v>
      </c>
      <c r="M13" s="24" t="n">
        <f aca="false">SUM(H13:L13)</f>
        <v>1085.09</v>
      </c>
      <c r="N13" s="24" t="n">
        <f aca="false">G13-M13</f>
        <v>-143.04</v>
      </c>
      <c r="O13" s="25" t="n">
        <f aca="false">IFERROR(G13/F13,0)</f>
        <v>0.304476405946994</v>
      </c>
      <c r="P13" s="26"/>
    </row>
    <row r="14" customFormat="false" ht="15" hidden="false" customHeight="false" outlineLevel="0" collapsed="false">
      <c r="A14" s="17" t="n">
        <v>46121</v>
      </c>
      <c r="B14" s="18" t="n">
        <v>703</v>
      </c>
      <c r="C14" s="18" t="n">
        <v>1564</v>
      </c>
      <c r="D14" s="18" t="n">
        <v>0</v>
      </c>
      <c r="E14" s="18" t="n">
        <v>0</v>
      </c>
      <c r="F14" s="19" t="n">
        <f aca="false">B14+C14+D14+E14</f>
        <v>2267</v>
      </c>
      <c r="G14" s="18" t="n">
        <v>692.1</v>
      </c>
      <c r="H14" s="18" t="n">
        <v>70</v>
      </c>
      <c r="I14" s="18" t="n">
        <v>330.63</v>
      </c>
      <c r="J14" s="18" t="n">
        <v>0</v>
      </c>
      <c r="K14" s="18" t="n">
        <v>684.46</v>
      </c>
      <c r="L14" s="18" t="n">
        <v>0</v>
      </c>
      <c r="M14" s="19" t="n">
        <f aca="false">SUM(H14:L14)</f>
        <v>1085.09</v>
      </c>
      <c r="N14" s="19" t="n">
        <f aca="false">G14-M14</f>
        <v>-392.99</v>
      </c>
      <c r="O14" s="20" t="n">
        <f aca="false">IFERROR(G14/F14,0)</f>
        <v>0.305293339214821</v>
      </c>
      <c r="P14" s="21"/>
    </row>
    <row r="15" customFormat="false" ht="15" hidden="false" customHeight="false" outlineLevel="0" collapsed="false">
      <c r="A15" s="22" t="n">
        <v>46122</v>
      </c>
      <c r="B15" s="23" t="n">
        <v>1139</v>
      </c>
      <c r="C15" s="23" t="n">
        <v>2046</v>
      </c>
      <c r="D15" s="23" t="n">
        <v>0</v>
      </c>
      <c r="E15" s="23" t="n">
        <v>0</v>
      </c>
      <c r="F15" s="24" t="n">
        <f aca="false">B15+C15+D15+E15</f>
        <v>3185</v>
      </c>
      <c r="G15" s="23" t="n">
        <v>1009.68</v>
      </c>
      <c r="H15" s="23" t="n">
        <v>70</v>
      </c>
      <c r="I15" s="23" t="n">
        <v>330.63</v>
      </c>
      <c r="J15" s="23" t="n">
        <v>0</v>
      </c>
      <c r="K15" s="23" t="n">
        <v>684.46</v>
      </c>
      <c r="L15" s="23" t="n">
        <v>0</v>
      </c>
      <c r="M15" s="24" t="n">
        <f aca="false">SUM(H15:L15)</f>
        <v>1085.09</v>
      </c>
      <c r="N15" s="24" t="n">
        <f aca="false">G15-M15</f>
        <v>-75.4100000000002</v>
      </c>
      <c r="O15" s="25" t="n">
        <f aca="false">IFERROR(G15/F15,0)</f>
        <v>0.317010989010989</v>
      </c>
      <c r="P15" s="26"/>
    </row>
    <row r="16" customFormat="false" ht="15" hidden="false" customHeight="false" outlineLevel="0" collapsed="false">
      <c r="A16" s="17" t="n">
        <v>46123</v>
      </c>
      <c r="B16" s="18" t="n">
        <v>1199</v>
      </c>
      <c r="C16" s="18" t="n">
        <v>2263</v>
      </c>
      <c r="D16" s="18" t="n">
        <v>0</v>
      </c>
      <c r="E16" s="18" t="n">
        <v>0</v>
      </c>
      <c r="F16" s="19" t="n">
        <f aca="false">B16+C16+D16+E16</f>
        <v>3462</v>
      </c>
      <c r="G16" s="18" t="n">
        <v>1078.17</v>
      </c>
      <c r="H16" s="18" t="n">
        <v>70</v>
      </c>
      <c r="I16" s="18" t="n">
        <v>330.63</v>
      </c>
      <c r="J16" s="18" t="n">
        <v>112</v>
      </c>
      <c r="K16" s="18" t="n">
        <v>684.46</v>
      </c>
      <c r="L16" s="18" t="n">
        <v>0</v>
      </c>
      <c r="M16" s="19" t="n">
        <f aca="false">SUM(H16:L16)</f>
        <v>1197.09</v>
      </c>
      <c r="N16" s="19" t="n">
        <f aca="false">G16-M16</f>
        <v>-118.92</v>
      </c>
      <c r="O16" s="20" t="n">
        <f aca="false">IFERROR(G16/F16,0)</f>
        <v>0.311429809358752</v>
      </c>
      <c r="P16" s="21"/>
    </row>
    <row r="17" customFormat="false" ht="15" hidden="false" customHeight="false" outlineLevel="0" collapsed="false">
      <c r="A17" s="22" t="n">
        <v>46124</v>
      </c>
      <c r="B17" s="23" t="n">
        <v>958</v>
      </c>
      <c r="C17" s="23" t="n">
        <v>1687</v>
      </c>
      <c r="D17" s="23" t="n">
        <v>0</v>
      </c>
      <c r="E17" s="23" t="n">
        <v>0</v>
      </c>
      <c r="F17" s="24" t="n">
        <f aca="false">B17+C17+D17+E17</f>
        <v>2645</v>
      </c>
      <c r="G17" s="23" t="n">
        <v>884.16</v>
      </c>
      <c r="H17" s="23" t="n">
        <v>70</v>
      </c>
      <c r="I17" s="23" t="n">
        <v>330.63</v>
      </c>
      <c r="J17" s="23" t="n">
        <v>0</v>
      </c>
      <c r="K17" s="23" t="n">
        <v>684.46</v>
      </c>
      <c r="L17" s="23" t="n">
        <v>0</v>
      </c>
      <c r="M17" s="24" t="n">
        <f aca="false">SUM(H17:L17)</f>
        <v>1085.09</v>
      </c>
      <c r="N17" s="24" t="n">
        <f aca="false">G17-M17</f>
        <v>-200.93</v>
      </c>
      <c r="O17" s="25" t="n">
        <f aca="false">IFERROR(G17/F17,0)</f>
        <v>0.334275992438563</v>
      </c>
      <c r="P17" s="26"/>
    </row>
    <row r="18" customFormat="false" ht="15" hidden="false" customHeight="false" outlineLevel="0" collapsed="false">
      <c r="A18" s="17" t="n">
        <v>46125</v>
      </c>
      <c r="B18" s="18" t="n">
        <v>1219</v>
      </c>
      <c r="C18" s="18" t="n">
        <v>1832</v>
      </c>
      <c r="D18" s="18" t="n">
        <v>0</v>
      </c>
      <c r="E18" s="18" t="n">
        <v>0</v>
      </c>
      <c r="F18" s="19" t="n">
        <f aca="false">B18+C18+D18+E18</f>
        <v>3051</v>
      </c>
      <c r="G18" s="18" t="n">
        <v>949.06</v>
      </c>
      <c r="H18" s="18" t="n">
        <v>70</v>
      </c>
      <c r="I18" s="18" t="n">
        <v>330.63</v>
      </c>
      <c r="J18" s="18" t="n">
        <v>0</v>
      </c>
      <c r="K18" s="18" t="n">
        <v>684.46</v>
      </c>
      <c r="L18" s="18" t="n">
        <v>0</v>
      </c>
      <c r="M18" s="19" t="n">
        <f aca="false">SUM(H18:L18)</f>
        <v>1085.09</v>
      </c>
      <c r="N18" s="19" t="n">
        <f aca="false">G18-M18</f>
        <v>-136.03</v>
      </c>
      <c r="O18" s="20" t="n">
        <f aca="false">IFERROR(G18/F18,0)</f>
        <v>0.311065224516552</v>
      </c>
      <c r="P18" s="21"/>
    </row>
    <row r="19" customFormat="false" ht="15" hidden="false" customHeight="false" outlineLevel="0" collapsed="false">
      <c r="A19" s="22" t="n">
        <v>46126</v>
      </c>
      <c r="B19" s="23" t="n">
        <v>1244</v>
      </c>
      <c r="C19" s="23" t="n">
        <v>2036</v>
      </c>
      <c r="D19" s="23" t="n">
        <v>0</v>
      </c>
      <c r="E19" s="23" t="n">
        <v>0</v>
      </c>
      <c r="F19" s="24" t="n">
        <f aca="false">B19+C19+D19+E19</f>
        <v>3280</v>
      </c>
      <c r="G19" s="23" t="n">
        <v>1024.11</v>
      </c>
      <c r="H19" s="23" t="n">
        <v>70</v>
      </c>
      <c r="I19" s="23" t="n">
        <v>330.63</v>
      </c>
      <c r="J19" s="23" t="n">
        <v>0</v>
      </c>
      <c r="K19" s="23" t="n">
        <v>684.46</v>
      </c>
      <c r="L19" s="23" t="n">
        <v>0</v>
      </c>
      <c r="M19" s="24" t="n">
        <f aca="false">SUM(H19:L19)</f>
        <v>1085.09</v>
      </c>
      <c r="N19" s="24" t="n">
        <f aca="false">G19-M19</f>
        <v>-60.9800000000002</v>
      </c>
      <c r="O19" s="25" t="n">
        <f aca="false">IFERROR(G19/F19,0)</f>
        <v>0.312228658536585</v>
      </c>
      <c r="P19" s="26"/>
    </row>
    <row r="20" customFormat="false" ht="15" hidden="false" customHeight="false" outlineLevel="0" collapsed="false">
      <c r="A20" s="17" t="n">
        <v>46127</v>
      </c>
      <c r="B20" s="18" t="n">
        <v>1106</v>
      </c>
      <c r="C20" s="18" t="n">
        <v>2152</v>
      </c>
      <c r="D20" s="18" t="n">
        <v>0</v>
      </c>
      <c r="E20" s="18" t="n">
        <v>0</v>
      </c>
      <c r="F20" s="19" t="n">
        <f aca="false">B20+C20+D20+E20</f>
        <v>3258</v>
      </c>
      <c r="G20" s="18" t="n">
        <v>1077.69</v>
      </c>
      <c r="H20" s="18" t="n">
        <v>70</v>
      </c>
      <c r="I20" s="18" t="n">
        <v>330.63</v>
      </c>
      <c r="J20" s="18" t="n">
        <v>0</v>
      </c>
      <c r="K20" s="18" t="n">
        <v>684.46</v>
      </c>
      <c r="L20" s="18" t="n">
        <v>0</v>
      </c>
      <c r="M20" s="19" t="n">
        <f aca="false">SUM(H20:L20)</f>
        <v>1085.09</v>
      </c>
      <c r="N20" s="19" t="n">
        <f aca="false">G20-M20</f>
        <v>-7.40000000000009</v>
      </c>
      <c r="O20" s="20" t="n">
        <f aca="false">IFERROR(G20/F20,0)</f>
        <v>0.330782688766114</v>
      </c>
      <c r="P20" s="21"/>
    </row>
    <row r="21" customFormat="false" ht="15" hidden="false" customHeight="false" outlineLevel="0" collapsed="false">
      <c r="A21" s="22" t="n">
        <v>46128</v>
      </c>
      <c r="B21" s="23" t="n">
        <v>817</v>
      </c>
      <c r="C21" s="23" t="n">
        <v>2024</v>
      </c>
      <c r="D21" s="23" t="n">
        <v>0</v>
      </c>
      <c r="E21" s="23" t="n">
        <v>0</v>
      </c>
      <c r="F21" s="24" t="n">
        <f aca="false">B21+C21+D21+E21</f>
        <v>2841</v>
      </c>
      <c r="G21" s="23" t="n">
        <v>978.04</v>
      </c>
      <c r="H21" s="23" t="n">
        <v>70</v>
      </c>
      <c r="I21" s="23" t="n">
        <v>330.63</v>
      </c>
      <c r="J21" s="23" t="n">
        <v>0</v>
      </c>
      <c r="K21" s="23" t="n">
        <v>684.46</v>
      </c>
      <c r="L21" s="23" t="n">
        <v>0</v>
      </c>
      <c r="M21" s="24" t="n">
        <f aca="false">SUM(H21:L21)</f>
        <v>1085.09</v>
      </c>
      <c r="N21" s="24" t="n">
        <f aca="false">G21-M21</f>
        <v>-107.05</v>
      </c>
      <c r="O21" s="25" t="n">
        <f aca="false">IFERROR(G21/F21,0)</f>
        <v>0.344259063709961</v>
      </c>
      <c r="P21" s="26"/>
    </row>
    <row r="22" customFormat="false" ht="15" hidden="false" customHeight="false" outlineLevel="0" collapsed="false">
      <c r="A22" s="17" t="n">
        <v>46129</v>
      </c>
      <c r="B22" s="18" t="n">
        <v>1041</v>
      </c>
      <c r="C22" s="18" t="n">
        <v>2854</v>
      </c>
      <c r="D22" s="18" t="n">
        <v>0</v>
      </c>
      <c r="E22" s="18" t="n">
        <v>0</v>
      </c>
      <c r="F22" s="19" t="n">
        <f aca="false">B22+C22+D22+E22</f>
        <v>3895</v>
      </c>
      <c r="G22" s="18" t="n">
        <v>1444.2</v>
      </c>
      <c r="H22" s="18" t="n">
        <v>70</v>
      </c>
      <c r="I22" s="18" t="n">
        <v>330.63</v>
      </c>
      <c r="J22" s="18" t="n">
        <v>0</v>
      </c>
      <c r="K22" s="18" t="n">
        <v>684.46</v>
      </c>
      <c r="L22" s="18" t="n">
        <v>0</v>
      </c>
      <c r="M22" s="19" t="n">
        <f aca="false">SUM(H22:L22)</f>
        <v>1085.09</v>
      </c>
      <c r="N22" s="19" t="n">
        <f aca="false">G22-M22</f>
        <v>359.11</v>
      </c>
      <c r="O22" s="20" t="n">
        <f aca="false">IFERROR(G22/F22,0)</f>
        <v>0.370783055198973</v>
      </c>
      <c r="P22" s="21"/>
    </row>
    <row r="23" customFormat="false" ht="15" hidden="false" customHeight="false" outlineLevel="0" collapsed="false">
      <c r="A23" s="22" t="n">
        <v>46130</v>
      </c>
      <c r="B23" s="23" t="n">
        <v>1070</v>
      </c>
      <c r="C23" s="23" t="n">
        <v>2483</v>
      </c>
      <c r="D23" s="23" t="n">
        <v>0</v>
      </c>
      <c r="E23" s="23" t="n">
        <v>0</v>
      </c>
      <c r="F23" s="24" t="n">
        <f aca="false">B23+C23+D23+E23</f>
        <v>3553</v>
      </c>
      <c r="G23" s="23" t="n">
        <v>1149.32</v>
      </c>
      <c r="H23" s="23" t="n">
        <v>70</v>
      </c>
      <c r="I23" s="23" t="n">
        <v>330.63</v>
      </c>
      <c r="J23" s="23" t="n">
        <v>0</v>
      </c>
      <c r="K23" s="23" t="n">
        <v>684.46</v>
      </c>
      <c r="L23" s="23" t="n">
        <v>72</v>
      </c>
      <c r="M23" s="24" t="n">
        <f aca="false">SUM(H23:L23)</f>
        <v>1157.09</v>
      </c>
      <c r="N23" s="24" t="n">
        <f aca="false">G23-M23</f>
        <v>-7.77000000000021</v>
      </c>
      <c r="O23" s="25" t="n">
        <f aca="false">IFERROR(G23/F23,0)</f>
        <v>0.323478750351815</v>
      </c>
      <c r="P23" s="26"/>
    </row>
    <row r="24" customFormat="false" ht="15" hidden="false" customHeight="false" outlineLevel="0" collapsed="false">
      <c r="A24" s="17" t="n">
        <v>46131</v>
      </c>
      <c r="B24" s="18" t="n">
        <v>1067</v>
      </c>
      <c r="C24" s="18" t="n">
        <v>1914</v>
      </c>
      <c r="D24" s="18" t="n">
        <v>0</v>
      </c>
      <c r="E24" s="18" t="n">
        <v>0</v>
      </c>
      <c r="F24" s="19" t="n">
        <f aca="false">B24+C24+D24+E24</f>
        <v>2981</v>
      </c>
      <c r="G24" s="18" t="n">
        <v>1126.08</v>
      </c>
      <c r="H24" s="18" t="n">
        <v>70</v>
      </c>
      <c r="I24" s="18" t="n">
        <v>330.63</v>
      </c>
      <c r="J24" s="18" t="n">
        <v>0</v>
      </c>
      <c r="K24" s="18" t="n">
        <v>684.46</v>
      </c>
      <c r="L24" s="18" t="n">
        <v>0</v>
      </c>
      <c r="M24" s="19" t="n">
        <f aca="false">SUM(H24:L24)</f>
        <v>1085.09</v>
      </c>
      <c r="N24" s="19" t="n">
        <f aca="false">G24-M24</f>
        <v>40.9899999999998</v>
      </c>
      <c r="O24" s="20" t="n">
        <f aca="false">IFERROR(G24/F24,0)</f>
        <v>0.377752432069775</v>
      </c>
      <c r="P24" s="21"/>
    </row>
    <row r="25" customFormat="false" ht="15" hidden="false" customHeight="false" outlineLevel="0" collapsed="false">
      <c r="A25" s="22" t="n">
        <v>46132</v>
      </c>
      <c r="B25" s="23" t="n">
        <v>889</v>
      </c>
      <c r="C25" s="23" t="n">
        <v>2454</v>
      </c>
      <c r="D25" s="23" t="n">
        <v>0</v>
      </c>
      <c r="E25" s="23" t="n">
        <v>0</v>
      </c>
      <c r="F25" s="24" t="n">
        <f aca="false">B25+C25+D25+E25</f>
        <v>3343</v>
      </c>
      <c r="G25" s="23" t="n">
        <v>1170.13</v>
      </c>
      <c r="H25" s="23" t="n">
        <v>70</v>
      </c>
      <c r="I25" s="23" t="n">
        <v>330.63</v>
      </c>
      <c r="J25" s="23" t="n">
        <v>0</v>
      </c>
      <c r="K25" s="23" t="n">
        <v>684.46</v>
      </c>
      <c r="L25" s="23" t="n">
        <v>0</v>
      </c>
      <c r="M25" s="24" t="n">
        <f aca="false">SUM(H25:L25)</f>
        <v>1085.09</v>
      </c>
      <c r="N25" s="24" t="n">
        <f aca="false">G25-M25</f>
        <v>85.04</v>
      </c>
      <c r="O25" s="25" t="n">
        <f aca="false">IFERROR(G25/F25,0)</f>
        <v>0.350023930601256</v>
      </c>
      <c r="P25" s="26"/>
    </row>
    <row r="26" customFormat="false" ht="15" hidden="false" customHeight="false" outlineLevel="0" collapsed="false">
      <c r="A26" s="17" t="n">
        <v>46133</v>
      </c>
      <c r="B26" s="18" t="n">
        <v>0</v>
      </c>
      <c r="C26" s="18" t="n">
        <v>0</v>
      </c>
      <c r="D26" s="18" t="n">
        <v>0</v>
      </c>
      <c r="E26" s="18" t="n">
        <v>0</v>
      </c>
      <c r="F26" s="19" t="n">
        <f aca="false">B26+C26+D26+E26</f>
        <v>0</v>
      </c>
      <c r="G26" s="18" t="n">
        <v>0</v>
      </c>
      <c r="H26" s="18" t="n">
        <v>70</v>
      </c>
      <c r="I26" s="18" t="n">
        <v>330.63</v>
      </c>
      <c r="J26" s="18" t="n">
        <v>0</v>
      </c>
      <c r="K26" s="18" t="n">
        <v>0</v>
      </c>
      <c r="L26" s="18" t="n">
        <v>0</v>
      </c>
      <c r="M26" s="19" t="n">
        <f aca="false">SUM(H26:L26)</f>
        <v>400.63</v>
      </c>
      <c r="N26" s="19" t="n">
        <f aca="false">G26-M26</f>
        <v>-400.63</v>
      </c>
      <c r="O26" s="20" t="n">
        <f aca="false">IFERROR(G26/F26,0)</f>
        <v>0</v>
      </c>
      <c r="P26" s="21" t="s">
        <v>50</v>
      </c>
    </row>
    <row r="27" customFormat="false" ht="15" hidden="false" customHeight="false" outlineLevel="0" collapsed="false">
      <c r="A27" s="22" t="n">
        <v>46134</v>
      </c>
      <c r="B27" s="23" t="n">
        <v>1119</v>
      </c>
      <c r="C27" s="23" t="n">
        <v>1727</v>
      </c>
      <c r="D27" s="23" t="n">
        <v>0</v>
      </c>
      <c r="E27" s="23" t="n">
        <v>0</v>
      </c>
      <c r="F27" s="24" t="n">
        <f aca="false">B27+C27+D27+E27</f>
        <v>2846</v>
      </c>
      <c r="G27" s="23" t="n">
        <v>1063.82</v>
      </c>
      <c r="H27" s="23" t="n">
        <v>70</v>
      </c>
      <c r="I27" s="23" t="n">
        <v>330.63</v>
      </c>
      <c r="J27" s="23" t="n">
        <v>0</v>
      </c>
      <c r="K27" s="23" t="n">
        <v>684.46</v>
      </c>
      <c r="L27" s="23" t="n">
        <v>0</v>
      </c>
      <c r="M27" s="24" t="n">
        <f aca="false">SUM(H27:L27)</f>
        <v>1085.09</v>
      </c>
      <c r="N27" s="24" t="n">
        <f aca="false">G27-M27</f>
        <v>-21.2700000000002</v>
      </c>
      <c r="O27" s="25" t="n">
        <f aca="false">IFERROR(G27/F27,0)</f>
        <v>0.373794799718904</v>
      </c>
      <c r="P27" s="26"/>
    </row>
    <row r="28" customFormat="false" ht="15" hidden="false" customHeight="false" outlineLevel="0" collapsed="false">
      <c r="A28" s="17" t="n">
        <v>46135</v>
      </c>
      <c r="B28" s="18" t="n">
        <v>851</v>
      </c>
      <c r="C28" s="18" t="n">
        <v>1781</v>
      </c>
      <c r="D28" s="18" t="n">
        <v>0</v>
      </c>
      <c r="E28" s="18" t="n">
        <v>0</v>
      </c>
      <c r="F28" s="19" t="n">
        <f aca="false">B28+C28+D28+E28</f>
        <v>2632</v>
      </c>
      <c r="G28" s="18" t="n">
        <v>813.15</v>
      </c>
      <c r="H28" s="18" t="n">
        <v>70</v>
      </c>
      <c r="I28" s="18" t="n">
        <v>330.63</v>
      </c>
      <c r="J28" s="18" t="n">
        <v>0</v>
      </c>
      <c r="K28" s="18" t="n">
        <v>684.46</v>
      </c>
      <c r="L28" s="18" t="n">
        <v>0</v>
      </c>
      <c r="M28" s="19" t="n">
        <f aca="false">SUM(H28:L28)</f>
        <v>1085.09</v>
      </c>
      <c r="N28" s="19" t="n">
        <f aca="false">G28-M28</f>
        <v>-271.94</v>
      </c>
      <c r="O28" s="20" t="n">
        <f aca="false">IFERROR(G28/F28,0)</f>
        <v>0.308947568389058</v>
      </c>
      <c r="P28" s="21"/>
    </row>
    <row r="29" customFormat="false" ht="15" hidden="false" customHeight="false" outlineLevel="0" collapsed="false">
      <c r="A29" s="22" t="n">
        <v>46136</v>
      </c>
      <c r="B29" s="23" t="n">
        <v>1272</v>
      </c>
      <c r="C29" s="23" t="n">
        <v>2156</v>
      </c>
      <c r="D29" s="23" t="n">
        <v>0</v>
      </c>
      <c r="E29" s="23" t="n">
        <v>0</v>
      </c>
      <c r="F29" s="24" t="n">
        <f aca="false">B29+C29+D29+E29</f>
        <v>3428</v>
      </c>
      <c r="G29" s="23" t="n">
        <v>1094.07</v>
      </c>
      <c r="H29" s="23" t="n">
        <v>70</v>
      </c>
      <c r="I29" s="23" t="n">
        <v>330.63</v>
      </c>
      <c r="J29" s="23" t="n">
        <v>0</v>
      </c>
      <c r="K29" s="23" t="n">
        <v>684.46</v>
      </c>
      <c r="L29" s="23" t="n">
        <v>0</v>
      </c>
      <c r="M29" s="24" t="n">
        <f aca="false">SUM(H29:L29)</f>
        <v>1085.09</v>
      </c>
      <c r="N29" s="24" t="n">
        <f aca="false">G29-M29</f>
        <v>8.97999999999979</v>
      </c>
      <c r="O29" s="25" t="n">
        <f aca="false">IFERROR(G29/F29,0)</f>
        <v>0.319156942823804</v>
      </c>
      <c r="P29" s="26"/>
    </row>
    <row r="30" customFormat="false" ht="15" hidden="false" customHeight="false" outlineLevel="0" collapsed="false">
      <c r="A30" s="17" t="n">
        <v>46137</v>
      </c>
      <c r="B30" s="18" t="n">
        <v>1184</v>
      </c>
      <c r="C30" s="18" t="n">
        <v>3339</v>
      </c>
      <c r="D30" s="18" t="n">
        <v>0</v>
      </c>
      <c r="E30" s="18" t="n">
        <v>0</v>
      </c>
      <c r="F30" s="19" t="n">
        <f aca="false">B30+C30+D30+E30</f>
        <v>4523</v>
      </c>
      <c r="G30" s="18" t="n">
        <v>1621.73</v>
      </c>
      <c r="H30" s="18" t="n">
        <v>70</v>
      </c>
      <c r="I30" s="18" t="n">
        <v>330.63</v>
      </c>
      <c r="J30" s="18" t="n">
        <v>0</v>
      </c>
      <c r="K30" s="18" t="n">
        <v>684.46</v>
      </c>
      <c r="L30" s="18" t="n">
        <v>0</v>
      </c>
      <c r="M30" s="19" t="n">
        <f aca="false">SUM(H30:L30)</f>
        <v>1085.09</v>
      </c>
      <c r="N30" s="19" t="n">
        <f aca="false">G30-M30</f>
        <v>536.64</v>
      </c>
      <c r="O30" s="20" t="n">
        <f aca="false">IFERROR(G30/F30,0)</f>
        <v>0.358551846119832</v>
      </c>
      <c r="P30" s="21"/>
    </row>
    <row r="31" customFormat="false" ht="15" hidden="false" customHeight="false" outlineLevel="0" collapsed="false">
      <c r="A31" s="22" t="n">
        <v>46138</v>
      </c>
      <c r="B31" s="23" t="n">
        <v>665</v>
      </c>
      <c r="C31" s="23" t="n">
        <v>1351</v>
      </c>
      <c r="D31" s="23" t="n">
        <v>0</v>
      </c>
      <c r="E31" s="23" t="n">
        <v>483</v>
      </c>
      <c r="F31" s="24" t="n">
        <f aca="false">B31+C31+D31+E31</f>
        <v>2499</v>
      </c>
      <c r="G31" s="23" t="n">
        <v>881.6</v>
      </c>
      <c r="H31" s="23" t="n">
        <v>70</v>
      </c>
      <c r="I31" s="23" t="n">
        <v>330.63</v>
      </c>
      <c r="J31" s="23" t="n">
        <v>0</v>
      </c>
      <c r="K31" s="23" t="n">
        <v>684.46</v>
      </c>
      <c r="L31" s="23" t="n">
        <v>0</v>
      </c>
      <c r="M31" s="24" t="n">
        <f aca="false">SUM(H31:L31)</f>
        <v>1085.09</v>
      </c>
      <c r="N31" s="24" t="n">
        <f aca="false">G31-M31</f>
        <v>-203.49</v>
      </c>
      <c r="O31" s="25" t="n">
        <f aca="false">IFERROR(G31/F31,0)</f>
        <v>0.352781112444978</v>
      </c>
      <c r="P31" s="26"/>
    </row>
    <row r="32" customFormat="false" ht="15" hidden="false" customHeight="false" outlineLevel="0" collapsed="false">
      <c r="A32" s="17" t="n">
        <v>46139</v>
      </c>
      <c r="B32" s="18" t="n">
        <v>916</v>
      </c>
      <c r="C32" s="18" t="n">
        <v>1867</v>
      </c>
      <c r="D32" s="18" t="n">
        <v>0</v>
      </c>
      <c r="E32" s="18" t="n">
        <v>0</v>
      </c>
      <c r="F32" s="19" t="n">
        <f aca="false">B32+C32+D32+E32</f>
        <v>2783</v>
      </c>
      <c r="G32" s="18" t="n">
        <v>969.95</v>
      </c>
      <c r="H32" s="18" t="n">
        <v>70</v>
      </c>
      <c r="I32" s="18" t="n">
        <v>330.63</v>
      </c>
      <c r="J32" s="18" t="n">
        <v>0</v>
      </c>
      <c r="K32" s="18" t="n">
        <v>684.46</v>
      </c>
      <c r="L32" s="18" t="n">
        <v>0</v>
      </c>
      <c r="M32" s="19" t="n">
        <f aca="false">SUM(H32:L32)</f>
        <v>1085.09</v>
      </c>
      <c r="N32" s="19" t="n">
        <f aca="false">G32-M32</f>
        <v>-115.14</v>
      </c>
      <c r="O32" s="20" t="n">
        <f aca="false">IFERROR(G32/F32,0)</f>
        <v>0.348526769673015</v>
      </c>
      <c r="P32" s="21"/>
    </row>
    <row r="33" customFormat="false" ht="15" hidden="false" customHeight="false" outlineLevel="0" collapsed="false">
      <c r="A33" s="22" t="n">
        <v>46140</v>
      </c>
      <c r="B33" s="23" t="n">
        <v>1000</v>
      </c>
      <c r="C33" s="23" t="n">
        <v>1752</v>
      </c>
      <c r="D33" s="23" t="n">
        <v>0</v>
      </c>
      <c r="E33" s="23" t="n">
        <v>0</v>
      </c>
      <c r="F33" s="24" t="n">
        <f aca="false">B33+C33+D33+E33</f>
        <v>2752</v>
      </c>
      <c r="G33" s="23" t="n">
        <v>977.48</v>
      </c>
      <c r="H33" s="23" t="n">
        <v>70</v>
      </c>
      <c r="I33" s="23" t="n">
        <v>330.63</v>
      </c>
      <c r="J33" s="23" t="n">
        <v>0</v>
      </c>
      <c r="K33" s="23" t="n">
        <v>684.46</v>
      </c>
      <c r="L33" s="23" t="n">
        <v>0</v>
      </c>
      <c r="M33" s="24" t="n">
        <f aca="false">SUM(H33:L33)</f>
        <v>1085.09</v>
      </c>
      <c r="N33" s="24" t="n">
        <f aca="false">G33-M33</f>
        <v>-107.61</v>
      </c>
      <c r="O33" s="25" t="n">
        <f aca="false">IFERROR(G33/F33,0)</f>
        <v>0.355188953488372</v>
      </c>
      <c r="P33" s="26"/>
    </row>
    <row r="34" customFormat="false" ht="15" hidden="false" customHeight="false" outlineLevel="0" collapsed="false">
      <c r="A34" s="17" t="n">
        <v>46141</v>
      </c>
      <c r="B34" s="18" t="n">
        <v>957</v>
      </c>
      <c r="C34" s="18" t="n">
        <v>1772</v>
      </c>
      <c r="D34" s="18" t="n">
        <v>0</v>
      </c>
      <c r="E34" s="18" t="n">
        <v>0</v>
      </c>
      <c r="F34" s="19" t="n">
        <f aca="false">B34+C34+D34+E34</f>
        <v>2729</v>
      </c>
      <c r="G34" s="18" t="n">
        <v>900.23</v>
      </c>
      <c r="H34" s="18" t="n">
        <v>70</v>
      </c>
      <c r="I34" s="18" t="n">
        <v>330.63</v>
      </c>
      <c r="J34" s="18" t="n">
        <v>0</v>
      </c>
      <c r="K34" s="18" t="n">
        <v>684.46</v>
      </c>
      <c r="L34" s="18" t="n">
        <v>0</v>
      </c>
      <c r="M34" s="19" t="n">
        <f aca="false">SUM(H34:L34)</f>
        <v>1085.09</v>
      </c>
      <c r="N34" s="19" t="n">
        <f aca="false">G34-M34</f>
        <v>-184.86</v>
      </c>
      <c r="O34" s="20" t="n">
        <f aca="false">IFERROR(G34/F34,0)</f>
        <v>0.329875412238915</v>
      </c>
      <c r="P34" s="21"/>
    </row>
    <row r="35" customFormat="false" ht="15" hidden="false" customHeight="false" outlineLevel="0" collapsed="false">
      <c r="A35" s="22" t="n">
        <v>46142</v>
      </c>
      <c r="B35" s="23" t="n">
        <v>750</v>
      </c>
      <c r="C35" s="23" t="n">
        <v>1862</v>
      </c>
      <c r="D35" s="23" t="n">
        <v>0</v>
      </c>
      <c r="E35" s="23" t="n">
        <v>0</v>
      </c>
      <c r="F35" s="24" t="n">
        <f aca="false">B35+C35+D35+E35</f>
        <v>2612</v>
      </c>
      <c r="G35" s="23" t="n">
        <v>796.98</v>
      </c>
      <c r="H35" s="23" t="n">
        <v>70</v>
      </c>
      <c r="I35" s="23" t="n">
        <v>330.63</v>
      </c>
      <c r="J35" s="23" t="n">
        <v>83</v>
      </c>
      <c r="K35" s="23" t="n">
        <v>684.46</v>
      </c>
      <c r="L35" s="23" t="n">
        <v>0</v>
      </c>
      <c r="M35" s="24" t="n">
        <f aca="false">SUM(H35:L35)</f>
        <v>1168.09</v>
      </c>
      <c r="N35" s="24" t="n">
        <f aca="false">G35-M35</f>
        <v>-371.11</v>
      </c>
      <c r="O35" s="25" t="n">
        <f aca="false">IFERROR(G35/F35,0)</f>
        <v>0.305122511485452</v>
      </c>
      <c r="P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8" customFormat="false" ht="15" hidden="false" customHeight="false" outlineLevel="0" collapsed="false">
      <c r="A38" s="27" t="s">
        <v>51</v>
      </c>
      <c r="B38" s="28" t="n">
        <f aca="false">SUM(B6:B36)</f>
        <v>29337</v>
      </c>
      <c r="C38" s="28" t="n">
        <f aca="false">SUM(C6:C36)</f>
        <v>58665</v>
      </c>
      <c r="D38" s="28" t="n">
        <f aca="false">SUM(D6:D36)</f>
        <v>-661</v>
      </c>
      <c r="E38" s="28" t="n">
        <f aca="false">SUM(E6:E36)</f>
        <v>483</v>
      </c>
      <c r="F38" s="28" t="n">
        <f aca="false">SUM(F6:F36)</f>
        <v>87824</v>
      </c>
      <c r="G38" s="28" t="n">
        <f aca="false">SUM(G6:G36)</f>
        <v>29566.02</v>
      </c>
      <c r="H38" s="28" t="n">
        <f aca="false">SUM(H6:H36)</f>
        <v>2100</v>
      </c>
      <c r="I38" s="28" t="n">
        <f aca="false">SUM(I6:I36)</f>
        <v>9918.9</v>
      </c>
      <c r="J38" s="28" t="n">
        <f aca="false">SUM(J6:J36)</f>
        <v>195</v>
      </c>
      <c r="K38" s="28" t="n">
        <f aca="false">SUM(K6:K36)</f>
        <v>19849.34</v>
      </c>
      <c r="L38" s="28" t="n">
        <f aca="false">SUM(L6:L36)</f>
        <v>135</v>
      </c>
      <c r="M38" s="28" t="n">
        <f aca="false">SUM(M6:M36)</f>
        <v>32198.24</v>
      </c>
      <c r="N38" s="28" t="n">
        <f aca="false">SUM(N6:N36)</f>
        <v>-2632.22</v>
      </c>
      <c r="O38" s="29" t="n">
        <f aca="false">IFERROR(G38/F38,0)</f>
        <v>0.336650801603206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46143</v>
      </c>
      <c r="B6" s="18" t="n">
        <v>1475</v>
      </c>
      <c r="C6" s="18" t="n">
        <v>4373</v>
      </c>
      <c r="D6" s="18" t="n">
        <v>0</v>
      </c>
      <c r="E6" s="18" t="n">
        <v>0</v>
      </c>
      <c r="F6" s="19" t="n">
        <f aca="false">B6+C6+D6+E6</f>
        <v>5848</v>
      </c>
      <c r="G6" s="18" t="n">
        <v>1798.03</v>
      </c>
      <c r="H6" s="18" t="n">
        <v>81.35</v>
      </c>
      <c r="I6" s="18" t="n">
        <v>296.64</v>
      </c>
      <c r="J6" s="18" t="n">
        <v>0</v>
      </c>
      <c r="K6" s="18" t="n">
        <v>608.12</v>
      </c>
      <c r="L6" s="18" t="n">
        <v>0</v>
      </c>
      <c r="M6" s="19" t="n">
        <f aca="false">SUM(H6:L6)</f>
        <v>986.11</v>
      </c>
      <c r="N6" s="19" t="n">
        <f aca="false">G6-M6</f>
        <v>811.92</v>
      </c>
      <c r="O6" s="20" t="n">
        <f aca="false">IFERROR(G6/F6,0)</f>
        <v>0.307460670314638</v>
      </c>
      <c r="P6" s="21"/>
    </row>
    <row r="7" customFormat="false" ht="15" hidden="false" customHeight="false" outlineLevel="0" collapsed="false">
      <c r="A7" s="22" t="n">
        <v>46144</v>
      </c>
      <c r="B7" s="23" t="n">
        <v>2001</v>
      </c>
      <c r="C7" s="23" t="n">
        <v>4434</v>
      </c>
      <c r="D7" s="23" t="n">
        <v>0</v>
      </c>
      <c r="E7" s="23" t="n">
        <v>0</v>
      </c>
      <c r="F7" s="24" t="n">
        <f aca="false">B7+C7+D7+E7</f>
        <v>6435</v>
      </c>
      <c r="G7" s="23" t="n">
        <v>2178.3</v>
      </c>
      <c r="H7" s="23" t="n">
        <v>81.35</v>
      </c>
      <c r="I7" s="23" t="n">
        <v>296.64</v>
      </c>
      <c r="J7" s="23" t="n">
        <v>0</v>
      </c>
      <c r="K7" s="23" t="n">
        <v>608.12</v>
      </c>
      <c r="L7" s="23" t="n">
        <v>0</v>
      </c>
      <c r="M7" s="24" t="n">
        <f aca="false">SUM(H7:L7)</f>
        <v>986.11</v>
      </c>
      <c r="N7" s="24" t="n">
        <f aca="false">G7-M7</f>
        <v>1192.19</v>
      </c>
      <c r="O7" s="25" t="n">
        <f aca="false">IFERROR(G7/F7,0)</f>
        <v>0.338508158508159</v>
      </c>
      <c r="P7" s="26"/>
    </row>
    <row r="8" customFormat="false" ht="15" hidden="false" customHeight="false" outlineLevel="0" collapsed="false">
      <c r="A8" s="17" t="n">
        <v>46145</v>
      </c>
      <c r="B8" s="18" t="n">
        <v>983</v>
      </c>
      <c r="C8" s="18" t="n">
        <v>2594</v>
      </c>
      <c r="D8" s="18" t="n">
        <v>0</v>
      </c>
      <c r="E8" s="18" t="n">
        <v>0</v>
      </c>
      <c r="F8" s="19" t="n">
        <f aca="false">B8+C8+D8+E8</f>
        <v>3577</v>
      </c>
      <c r="G8" s="18" t="n">
        <v>1073.72</v>
      </c>
      <c r="H8" s="18" t="n">
        <v>81.35</v>
      </c>
      <c r="I8" s="18" t="n">
        <v>296.64</v>
      </c>
      <c r="J8" s="18" t="n">
        <v>0</v>
      </c>
      <c r="K8" s="18" t="n">
        <v>608.12</v>
      </c>
      <c r="L8" s="18" t="n">
        <v>0</v>
      </c>
      <c r="M8" s="19" t="n">
        <f aca="false">SUM(H8:L8)</f>
        <v>986.11</v>
      </c>
      <c r="N8" s="19" t="n">
        <f aca="false">G8-M8</f>
        <v>87.61</v>
      </c>
      <c r="O8" s="20" t="n">
        <f aca="false">IFERROR(G8/F8,0)</f>
        <v>0.300173329605815</v>
      </c>
      <c r="P8" s="21"/>
    </row>
    <row r="9" customFormat="false" ht="15" hidden="false" customHeight="false" outlineLevel="0" collapsed="false">
      <c r="A9" s="22" t="n">
        <v>46146</v>
      </c>
      <c r="B9" s="23" t="n">
        <v>1728</v>
      </c>
      <c r="C9" s="23" t="n">
        <v>2970</v>
      </c>
      <c r="D9" s="23" t="n">
        <v>0</v>
      </c>
      <c r="E9" s="23" t="n">
        <v>0</v>
      </c>
      <c r="F9" s="24" t="n">
        <f aca="false">B9+C9+D9+E9</f>
        <v>4698</v>
      </c>
      <c r="G9" s="23" t="n">
        <v>1516.61</v>
      </c>
      <c r="H9" s="23" t="n">
        <v>81.35</v>
      </c>
      <c r="I9" s="23" t="n">
        <v>296.64</v>
      </c>
      <c r="J9" s="23" t="n">
        <v>0</v>
      </c>
      <c r="K9" s="23" t="n">
        <v>608.12</v>
      </c>
      <c r="L9" s="23" t="n">
        <v>0</v>
      </c>
      <c r="M9" s="24" t="n">
        <f aca="false">SUM(H9:L9)</f>
        <v>986.11</v>
      </c>
      <c r="N9" s="24" t="n">
        <f aca="false">G9-M9</f>
        <v>530.5</v>
      </c>
      <c r="O9" s="25" t="n">
        <f aca="false">IFERROR(G9/F9,0)</f>
        <v>0.322820349084717</v>
      </c>
      <c r="P9" s="26"/>
    </row>
    <row r="10" customFormat="false" ht="15" hidden="false" customHeight="false" outlineLevel="0" collapsed="false">
      <c r="A10" s="17" t="n">
        <v>46147</v>
      </c>
      <c r="B10" s="18" t="n">
        <v>1774</v>
      </c>
      <c r="C10" s="18" t="n">
        <v>3052</v>
      </c>
      <c r="D10" s="18" t="n">
        <v>0</v>
      </c>
      <c r="E10" s="18" t="n">
        <v>0</v>
      </c>
      <c r="F10" s="19" t="n">
        <f aca="false">B10+C10+D10+E10</f>
        <v>4826</v>
      </c>
      <c r="G10" s="18" t="n">
        <v>1703.34</v>
      </c>
      <c r="H10" s="18" t="n">
        <v>81.35</v>
      </c>
      <c r="I10" s="18" t="n">
        <v>296.64</v>
      </c>
      <c r="J10" s="18" t="n">
        <v>0</v>
      </c>
      <c r="K10" s="18" t="n">
        <v>608.12</v>
      </c>
      <c r="L10" s="18" t="n">
        <v>0</v>
      </c>
      <c r="M10" s="19" t="n">
        <f aca="false">SUM(H10:L10)</f>
        <v>986.11</v>
      </c>
      <c r="N10" s="19" t="n">
        <f aca="false">G10-M10</f>
        <v>717.23</v>
      </c>
      <c r="O10" s="20" t="n">
        <f aca="false">IFERROR(G10/F10,0)</f>
        <v>0.352950683796104</v>
      </c>
      <c r="P10" s="21"/>
    </row>
    <row r="11" customFormat="false" ht="15" hidden="false" customHeight="false" outlineLevel="0" collapsed="false">
      <c r="A11" s="22" t="n">
        <v>46148</v>
      </c>
      <c r="B11" s="23" t="n">
        <v>1487</v>
      </c>
      <c r="C11" s="23" t="n">
        <v>3774</v>
      </c>
      <c r="D11" s="23" t="n">
        <v>0</v>
      </c>
      <c r="E11" s="23" t="n">
        <v>0</v>
      </c>
      <c r="F11" s="24" t="n">
        <f aca="false">B11+C11+D11+E11</f>
        <v>5261</v>
      </c>
      <c r="G11" s="23" t="n">
        <v>1602.91</v>
      </c>
      <c r="H11" s="23" t="n">
        <v>81.35</v>
      </c>
      <c r="I11" s="23" t="n">
        <v>296.64</v>
      </c>
      <c r="J11" s="23" t="n">
        <v>0</v>
      </c>
      <c r="K11" s="23" t="n">
        <v>608.12</v>
      </c>
      <c r="L11" s="23" t="n">
        <v>31</v>
      </c>
      <c r="M11" s="24" t="n">
        <f aca="false">SUM(H11:L11)</f>
        <v>1017.11</v>
      </c>
      <c r="N11" s="24" t="n">
        <f aca="false">G11-M11</f>
        <v>585.8</v>
      </c>
      <c r="O11" s="25" t="n">
        <f aca="false">IFERROR(G11/F11,0)</f>
        <v>0.304677817905341</v>
      </c>
      <c r="P11" s="26"/>
    </row>
    <row r="12" customFormat="false" ht="15" hidden="false" customHeight="false" outlineLevel="0" collapsed="false">
      <c r="A12" s="17" t="n">
        <v>46149</v>
      </c>
      <c r="B12" s="18" t="n">
        <v>1452</v>
      </c>
      <c r="C12" s="18" t="n">
        <v>4186</v>
      </c>
      <c r="D12" s="18" t="n">
        <v>0</v>
      </c>
      <c r="E12" s="18" t="n">
        <v>0</v>
      </c>
      <c r="F12" s="19" t="n">
        <f aca="false">B12+C12+D12+E12</f>
        <v>5638</v>
      </c>
      <c r="G12" s="18" t="n">
        <v>1906.45</v>
      </c>
      <c r="H12" s="18" t="n">
        <v>81.35</v>
      </c>
      <c r="I12" s="18" t="n">
        <v>296.64</v>
      </c>
      <c r="J12" s="18" t="n">
        <v>0</v>
      </c>
      <c r="K12" s="18" t="n">
        <v>608.12</v>
      </c>
      <c r="L12" s="18" t="n">
        <v>0</v>
      </c>
      <c r="M12" s="19" t="n">
        <f aca="false">SUM(H12:L12)</f>
        <v>986.11</v>
      </c>
      <c r="N12" s="19" t="n">
        <f aca="false">G12-M12</f>
        <v>920.34</v>
      </c>
      <c r="O12" s="20" t="n">
        <f aca="false">IFERROR(G12/F12,0)</f>
        <v>0.338142958495921</v>
      </c>
      <c r="P12" s="21"/>
    </row>
    <row r="13" customFormat="false" ht="15" hidden="false" customHeight="false" outlineLevel="0" collapsed="false">
      <c r="A13" s="22" t="n">
        <v>46150</v>
      </c>
      <c r="B13" s="23" t="n">
        <v>1715</v>
      </c>
      <c r="C13" s="23" t="n">
        <v>4918</v>
      </c>
      <c r="D13" s="23" t="n">
        <v>0</v>
      </c>
      <c r="E13" s="23" t="n">
        <v>0</v>
      </c>
      <c r="F13" s="24" t="n">
        <f aca="false">B13+C13+D13+E13</f>
        <v>6633</v>
      </c>
      <c r="G13" s="23" t="n">
        <v>2259.37</v>
      </c>
      <c r="H13" s="23" t="n">
        <v>81.35</v>
      </c>
      <c r="I13" s="23" t="n">
        <v>296.64</v>
      </c>
      <c r="J13" s="23" t="n">
        <v>0</v>
      </c>
      <c r="K13" s="23" t="n">
        <v>608.12</v>
      </c>
      <c r="L13" s="23" t="n">
        <v>7</v>
      </c>
      <c r="M13" s="24" t="n">
        <f aca="false">SUM(H13:L13)</f>
        <v>993.11</v>
      </c>
      <c r="N13" s="24" t="n">
        <f aca="false">G13-M13</f>
        <v>1266.26</v>
      </c>
      <c r="O13" s="25" t="n">
        <f aca="false">IFERROR(G13/F13,0)</f>
        <v>0.340625659580883</v>
      </c>
      <c r="P13" s="26"/>
    </row>
    <row r="14" customFormat="false" ht="15" hidden="false" customHeight="false" outlineLevel="0" collapsed="false">
      <c r="A14" s="17" t="n">
        <v>46151</v>
      </c>
      <c r="B14" s="18" t="n">
        <v>2112</v>
      </c>
      <c r="C14" s="18" t="n">
        <v>3456</v>
      </c>
      <c r="D14" s="18" t="n">
        <v>0</v>
      </c>
      <c r="E14" s="18" t="n">
        <v>0</v>
      </c>
      <c r="F14" s="19" t="n">
        <f aca="false">B14+C14+D14+E14</f>
        <v>5568</v>
      </c>
      <c r="G14" s="18" t="n">
        <v>1850.26</v>
      </c>
      <c r="H14" s="18" t="n">
        <v>81.35</v>
      </c>
      <c r="I14" s="18" t="n">
        <v>296.64</v>
      </c>
      <c r="J14" s="18" t="n">
        <v>0</v>
      </c>
      <c r="K14" s="18" t="n">
        <v>608.12</v>
      </c>
      <c r="L14" s="18" t="n">
        <v>0</v>
      </c>
      <c r="M14" s="19" t="n">
        <f aca="false">SUM(H14:L14)</f>
        <v>986.11</v>
      </c>
      <c r="N14" s="19" t="n">
        <f aca="false">G14-M14</f>
        <v>864.15</v>
      </c>
      <c r="O14" s="20" t="n">
        <f aca="false">IFERROR(G14/F14,0)</f>
        <v>0.332302442528736</v>
      </c>
      <c r="P14" s="21"/>
    </row>
    <row r="15" customFormat="false" ht="15" hidden="false" customHeight="false" outlineLevel="0" collapsed="false">
      <c r="A15" s="22" t="n">
        <v>46152</v>
      </c>
      <c r="B15" s="23" t="n">
        <v>1337</v>
      </c>
      <c r="C15" s="23" t="n">
        <v>2632</v>
      </c>
      <c r="D15" s="23" t="n">
        <v>0</v>
      </c>
      <c r="E15" s="23" t="n">
        <v>0</v>
      </c>
      <c r="F15" s="24" t="n">
        <f aca="false">B15+C15+D15+E15</f>
        <v>3969</v>
      </c>
      <c r="G15" s="23" t="n">
        <v>1203.32</v>
      </c>
      <c r="H15" s="23" t="n">
        <v>81.35</v>
      </c>
      <c r="I15" s="23" t="n">
        <v>296.64</v>
      </c>
      <c r="J15" s="23" t="n">
        <v>99</v>
      </c>
      <c r="K15" s="23" t="n">
        <v>608.12</v>
      </c>
      <c r="L15" s="23" t="n">
        <v>0</v>
      </c>
      <c r="M15" s="24" t="n">
        <f aca="false">SUM(H15:L15)</f>
        <v>1085.11</v>
      </c>
      <c r="N15" s="24" t="n">
        <f aca="false">G15-M15</f>
        <v>118.21</v>
      </c>
      <c r="O15" s="25" t="n">
        <f aca="false">IFERROR(G15/F15,0)</f>
        <v>0.303179642227261</v>
      </c>
      <c r="P15" s="26"/>
    </row>
    <row r="16" customFormat="false" ht="15" hidden="false" customHeight="false" outlineLevel="0" collapsed="false">
      <c r="A16" s="17" t="n">
        <v>46153</v>
      </c>
      <c r="B16" s="18" t="n">
        <v>1342</v>
      </c>
      <c r="C16" s="18" t="n">
        <v>3171</v>
      </c>
      <c r="D16" s="18" t="n">
        <v>0</v>
      </c>
      <c r="E16" s="18" t="n">
        <v>0</v>
      </c>
      <c r="F16" s="19" t="n">
        <f aca="false">B16+C16+D16+E16</f>
        <v>4513</v>
      </c>
      <c r="G16" s="18" t="n">
        <v>1448.05</v>
      </c>
      <c r="H16" s="18" t="n">
        <v>81.35</v>
      </c>
      <c r="I16" s="18" t="n">
        <v>296.64</v>
      </c>
      <c r="J16" s="18" t="n">
        <v>0</v>
      </c>
      <c r="K16" s="18" t="n">
        <v>608.12</v>
      </c>
      <c r="L16" s="18" t="n">
        <v>0</v>
      </c>
      <c r="M16" s="19" t="n">
        <f aca="false">SUM(H16:L16)</f>
        <v>986.11</v>
      </c>
      <c r="N16" s="19" t="n">
        <f aca="false">G16-M16</f>
        <v>461.94</v>
      </c>
      <c r="O16" s="20" t="n">
        <f aca="false">IFERROR(G16/F16,0)</f>
        <v>0.320861954354088</v>
      </c>
      <c r="P16" s="21"/>
    </row>
    <row r="17" customFormat="false" ht="15" hidden="false" customHeight="false" outlineLevel="0" collapsed="false">
      <c r="A17" s="22" t="n">
        <v>46154</v>
      </c>
      <c r="B17" s="23" t="n">
        <v>1094</v>
      </c>
      <c r="C17" s="23" t="n">
        <v>2679</v>
      </c>
      <c r="D17" s="23" t="n">
        <v>0</v>
      </c>
      <c r="E17" s="23" t="n">
        <v>0</v>
      </c>
      <c r="F17" s="24" t="n">
        <f aca="false">B17+C17+D17+E17</f>
        <v>3773</v>
      </c>
      <c r="G17" s="23" t="n">
        <v>1171.4</v>
      </c>
      <c r="H17" s="23" t="n">
        <v>81.35</v>
      </c>
      <c r="I17" s="23" t="n">
        <v>296.64</v>
      </c>
      <c r="J17" s="23" t="n">
        <v>0</v>
      </c>
      <c r="K17" s="23" t="n">
        <v>608.12</v>
      </c>
      <c r="L17" s="23" t="n">
        <v>0</v>
      </c>
      <c r="M17" s="24" t="n">
        <f aca="false">SUM(H17:L17)</f>
        <v>986.11</v>
      </c>
      <c r="N17" s="24" t="n">
        <f aca="false">G17-M17</f>
        <v>185.29</v>
      </c>
      <c r="O17" s="25" t="n">
        <f aca="false">IFERROR(G17/F17,0)</f>
        <v>0.310469122714021</v>
      </c>
      <c r="P17" s="26"/>
    </row>
    <row r="18" customFormat="false" ht="15" hidden="false" customHeight="false" outlineLevel="0" collapsed="false">
      <c r="A18" s="17" t="n">
        <v>46155</v>
      </c>
      <c r="B18" s="18" t="n">
        <v>1989</v>
      </c>
      <c r="C18" s="18" t="n">
        <v>3120</v>
      </c>
      <c r="D18" s="18" t="n">
        <v>0</v>
      </c>
      <c r="E18" s="18" t="n">
        <v>0</v>
      </c>
      <c r="F18" s="19" t="n">
        <f aca="false">B18+C18+D18+E18</f>
        <v>5109</v>
      </c>
      <c r="G18" s="18" t="n">
        <v>1915.15</v>
      </c>
      <c r="H18" s="18" t="n">
        <v>81.35</v>
      </c>
      <c r="I18" s="18" t="n">
        <v>296.64</v>
      </c>
      <c r="J18" s="18" t="n">
        <v>93</v>
      </c>
      <c r="K18" s="18" t="n">
        <v>608.12</v>
      </c>
      <c r="L18" s="18" t="n">
        <v>0</v>
      </c>
      <c r="M18" s="19" t="n">
        <f aca="false">SUM(H18:L18)</f>
        <v>1079.11</v>
      </c>
      <c r="N18" s="19" t="n">
        <f aca="false">G18-M18</f>
        <v>836.04</v>
      </c>
      <c r="O18" s="20" t="n">
        <f aca="false">IFERROR(G18/F18,0)</f>
        <v>0.374858093560384</v>
      </c>
      <c r="P18" s="21"/>
    </row>
    <row r="19" customFormat="false" ht="15" hidden="false" customHeight="false" outlineLevel="0" collapsed="false">
      <c r="A19" s="22" t="n">
        <v>46156</v>
      </c>
      <c r="B19" s="23" t="n">
        <v>1163</v>
      </c>
      <c r="C19" s="23" t="n">
        <v>3225</v>
      </c>
      <c r="D19" s="23" t="n">
        <v>0</v>
      </c>
      <c r="E19" s="23" t="n">
        <v>0</v>
      </c>
      <c r="F19" s="24" t="n">
        <f aca="false">B19+C19+D19+E19</f>
        <v>4388</v>
      </c>
      <c r="G19" s="23" t="n">
        <v>1505.13</v>
      </c>
      <c r="H19" s="23" t="n">
        <v>81.35</v>
      </c>
      <c r="I19" s="23" t="n">
        <v>296.64</v>
      </c>
      <c r="J19" s="23" t="n">
        <v>0</v>
      </c>
      <c r="K19" s="23" t="n">
        <v>608.12</v>
      </c>
      <c r="L19" s="23" t="n">
        <v>0</v>
      </c>
      <c r="M19" s="24" t="n">
        <f aca="false">SUM(H19:L19)</f>
        <v>986.11</v>
      </c>
      <c r="N19" s="24" t="n">
        <f aca="false">G19-M19</f>
        <v>519.02</v>
      </c>
      <c r="O19" s="25" t="n">
        <f aca="false">IFERROR(G19/F19,0)</f>
        <v>0.343010483135825</v>
      </c>
      <c r="P19" s="26"/>
    </row>
    <row r="20" customFormat="false" ht="15" hidden="false" customHeight="false" outlineLevel="0" collapsed="false">
      <c r="A20" s="17" t="n">
        <v>46157</v>
      </c>
      <c r="B20" s="18" t="n">
        <v>1846</v>
      </c>
      <c r="C20" s="18" t="n">
        <v>4259</v>
      </c>
      <c r="D20" s="18" t="n">
        <v>0</v>
      </c>
      <c r="E20" s="18" t="n">
        <v>0</v>
      </c>
      <c r="F20" s="19" t="n">
        <f aca="false">B20+C20+D20+E20</f>
        <v>6105</v>
      </c>
      <c r="G20" s="18" t="n">
        <v>1865.1</v>
      </c>
      <c r="H20" s="18" t="n">
        <v>81.35</v>
      </c>
      <c r="I20" s="18" t="n">
        <v>296.64</v>
      </c>
      <c r="J20" s="18" t="n">
        <v>0</v>
      </c>
      <c r="K20" s="18" t="n">
        <v>608.12</v>
      </c>
      <c r="L20" s="18" t="n">
        <v>0</v>
      </c>
      <c r="M20" s="19" t="n">
        <f aca="false">SUM(H20:L20)</f>
        <v>986.11</v>
      </c>
      <c r="N20" s="19" t="n">
        <f aca="false">G20-M20</f>
        <v>878.99</v>
      </c>
      <c r="O20" s="20" t="n">
        <f aca="false">IFERROR(G20/F20,0)</f>
        <v>0.305503685503686</v>
      </c>
      <c r="P20" s="21"/>
    </row>
    <row r="21" customFormat="false" ht="15" hidden="false" customHeight="false" outlineLevel="0" collapsed="false">
      <c r="A21" s="22" t="n">
        <v>46158</v>
      </c>
      <c r="B21" s="23" t="n">
        <v>2384</v>
      </c>
      <c r="C21" s="23" t="n">
        <v>5168</v>
      </c>
      <c r="D21" s="23" t="n">
        <v>0</v>
      </c>
      <c r="E21" s="23" t="n">
        <v>0</v>
      </c>
      <c r="F21" s="24" t="n">
        <f aca="false">B21+C21+D21+E21</f>
        <v>7552</v>
      </c>
      <c r="G21" s="23" t="n">
        <v>2593.79</v>
      </c>
      <c r="H21" s="23" t="n">
        <v>81.35</v>
      </c>
      <c r="I21" s="23" t="n">
        <v>296.64</v>
      </c>
      <c r="J21" s="23" t="n">
        <v>0</v>
      </c>
      <c r="K21" s="23" t="n">
        <v>608.12</v>
      </c>
      <c r="L21" s="23" t="n">
        <v>0</v>
      </c>
      <c r="M21" s="24" t="n">
        <f aca="false">SUM(H21:L21)</f>
        <v>986.11</v>
      </c>
      <c r="N21" s="24" t="n">
        <f aca="false">G21-M21</f>
        <v>1607.68</v>
      </c>
      <c r="O21" s="25" t="n">
        <f aca="false">IFERROR(G21/F21,0)</f>
        <v>0.343457362288136</v>
      </c>
      <c r="P21" s="26"/>
    </row>
    <row r="22" customFormat="false" ht="15" hidden="false" customHeight="false" outlineLevel="0" collapsed="false">
      <c r="A22" s="17" t="n">
        <v>46159</v>
      </c>
      <c r="B22" s="18" t="n">
        <v>1160</v>
      </c>
      <c r="C22" s="18" t="n">
        <v>1966</v>
      </c>
      <c r="D22" s="18" t="n">
        <v>0</v>
      </c>
      <c r="E22" s="18" t="n">
        <v>0</v>
      </c>
      <c r="F22" s="19" t="n">
        <f aca="false">B22+C22+D22+E22</f>
        <v>3126</v>
      </c>
      <c r="G22" s="18" t="n">
        <v>1070.08</v>
      </c>
      <c r="H22" s="18" t="n">
        <v>81.35</v>
      </c>
      <c r="I22" s="18" t="n">
        <v>296.64</v>
      </c>
      <c r="J22" s="18" t="n">
        <v>0</v>
      </c>
      <c r="K22" s="18" t="n">
        <v>608.12</v>
      </c>
      <c r="L22" s="18" t="n">
        <v>0</v>
      </c>
      <c r="M22" s="19" t="n">
        <f aca="false">SUM(H22:L22)</f>
        <v>986.11</v>
      </c>
      <c r="N22" s="19" t="n">
        <f aca="false">G22-M22</f>
        <v>83.9699999999999</v>
      </c>
      <c r="O22" s="20" t="n">
        <f aca="false">IFERROR(G22/F22,0)</f>
        <v>0.342316058861164</v>
      </c>
      <c r="P22" s="21"/>
    </row>
    <row r="23" customFormat="false" ht="15" hidden="false" customHeight="false" outlineLevel="0" collapsed="false">
      <c r="A23" s="22" t="n">
        <v>46160</v>
      </c>
      <c r="B23" s="23" t="n">
        <v>1986</v>
      </c>
      <c r="C23" s="23" t="n">
        <v>3110</v>
      </c>
      <c r="D23" s="23" t="n">
        <v>0</v>
      </c>
      <c r="E23" s="23" t="n">
        <v>425</v>
      </c>
      <c r="F23" s="24" t="n">
        <f aca="false">B23+C23+D23+E23</f>
        <v>5521</v>
      </c>
      <c r="G23" s="23" t="n">
        <v>2044.15</v>
      </c>
      <c r="H23" s="23" t="n">
        <v>81.35</v>
      </c>
      <c r="I23" s="23" t="n">
        <v>296.64</v>
      </c>
      <c r="J23" s="23" t="n">
        <v>0</v>
      </c>
      <c r="K23" s="23" t="n">
        <v>608.12</v>
      </c>
      <c r="L23" s="23" t="n">
        <v>0</v>
      </c>
      <c r="M23" s="24" t="n">
        <f aca="false">SUM(H23:L23)</f>
        <v>986.11</v>
      </c>
      <c r="N23" s="24" t="n">
        <f aca="false">G23-M23</f>
        <v>1058.04</v>
      </c>
      <c r="O23" s="25" t="n">
        <f aca="false">IFERROR(G23/F23,0)</f>
        <v>0.370249954718348</v>
      </c>
      <c r="P23" s="26"/>
    </row>
    <row r="24" customFormat="false" ht="15" hidden="false" customHeight="false" outlineLevel="0" collapsed="false">
      <c r="A24" s="17" t="n">
        <v>46161</v>
      </c>
      <c r="B24" s="18" t="n">
        <v>1835</v>
      </c>
      <c r="C24" s="18" t="n">
        <v>3244</v>
      </c>
      <c r="D24" s="18" t="n">
        <v>0</v>
      </c>
      <c r="E24" s="18" t="n">
        <v>0</v>
      </c>
      <c r="F24" s="19" t="n">
        <f aca="false">B24+C24+D24+E24</f>
        <v>5079</v>
      </c>
      <c r="G24" s="18" t="n">
        <v>1586.86</v>
      </c>
      <c r="H24" s="18" t="n">
        <v>81.35</v>
      </c>
      <c r="I24" s="18" t="n">
        <v>296.64</v>
      </c>
      <c r="J24" s="18" t="n">
        <v>0</v>
      </c>
      <c r="K24" s="18" t="n">
        <v>608.12</v>
      </c>
      <c r="L24" s="18" t="n">
        <v>0</v>
      </c>
      <c r="M24" s="19" t="n">
        <f aca="false">SUM(H24:L24)</f>
        <v>986.11</v>
      </c>
      <c r="N24" s="19" t="n">
        <f aca="false">G24-M24</f>
        <v>600.75</v>
      </c>
      <c r="O24" s="20" t="n">
        <f aca="false">IFERROR(G24/F24,0)</f>
        <v>0.312435518802914</v>
      </c>
      <c r="P24" s="21"/>
    </row>
    <row r="25" customFormat="false" ht="15" hidden="false" customHeight="false" outlineLevel="0" collapsed="false">
      <c r="A25" s="22" t="n">
        <v>46162</v>
      </c>
      <c r="B25" s="23" t="n">
        <v>1113</v>
      </c>
      <c r="C25" s="23" t="n">
        <v>2580</v>
      </c>
      <c r="D25" s="23" t="n">
        <v>0</v>
      </c>
      <c r="E25" s="23" t="n">
        <v>0</v>
      </c>
      <c r="F25" s="24" t="n">
        <f aca="false">B25+C25+D25+E25</f>
        <v>3693</v>
      </c>
      <c r="G25" s="23" t="n">
        <v>1311.01</v>
      </c>
      <c r="H25" s="23" t="n">
        <v>81.35</v>
      </c>
      <c r="I25" s="23" t="n">
        <v>296.64</v>
      </c>
      <c r="J25" s="23" t="n">
        <v>0</v>
      </c>
      <c r="K25" s="23" t="n">
        <v>608.12</v>
      </c>
      <c r="L25" s="23" t="n">
        <v>0</v>
      </c>
      <c r="M25" s="24" t="n">
        <f aca="false">SUM(H25:L25)</f>
        <v>986.11</v>
      </c>
      <c r="N25" s="24" t="n">
        <f aca="false">G25-M25</f>
        <v>324.9</v>
      </c>
      <c r="O25" s="25" t="n">
        <f aca="false">IFERROR(G25/F25,0)</f>
        <v>0.354998646087192</v>
      </c>
      <c r="P25" s="26"/>
    </row>
    <row r="26" customFormat="false" ht="15" hidden="false" customHeight="false" outlineLevel="0" collapsed="false">
      <c r="A26" s="17" t="n">
        <v>46163</v>
      </c>
      <c r="B26" s="18" t="n">
        <v>1517</v>
      </c>
      <c r="C26" s="18" t="n">
        <v>3756</v>
      </c>
      <c r="D26" s="18" t="n">
        <v>0</v>
      </c>
      <c r="E26" s="18" t="n">
        <v>0</v>
      </c>
      <c r="F26" s="19" t="n">
        <f aca="false">B26+C26+D26+E26</f>
        <v>5273</v>
      </c>
      <c r="G26" s="18" t="n">
        <v>1965</v>
      </c>
      <c r="H26" s="18" t="n">
        <v>81.35</v>
      </c>
      <c r="I26" s="18" t="n">
        <v>296.64</v>
      </c>
      <c r="J26" s="18" t="n">
        <v>95</v>
      </c>
      <c r="K26" s="18" t="n">
        <v>608.12</v>
      </c>
      <c r="L26" s="18" t="n">
        <v>0</v>
      </c>
      <c r="M26" s="19" t="n">
        <f aca="false">SUM(H26:L26)</f>
        <v>1081.11</v>
      </c>
      <c r="N26" s="19" t="n">
        <f aca="false">G26-M26</f>
        <v>883.89</v>
      </c>
      <c r="O26" s="20" t="n">
        <f aca="false">IFERROR(G26/F26,0)</f>
        <v>0.372653138630761</v>
      </c>
      <c r="P26" s="21"/>
    </row>
    <row r="27" customFormat="false" ht="15" hidden="false" customHeight="false" outlineLevel="0" collapsed="false">
      <c r="A27" s="22" t="n">
        <v>46164</v>
      </c>
      <c r="B27" s="23" t="n">
        <v>1886</v>
      </c>
      <c r="C27" s="23" t="n">
        <v>5464</v>
      </c>
      <c r="D27" s="23" t="n">
        <v>0</v>
      </c>
      <c r="E27" s="23" t="n">
        <v>0</v>
      </c>
      <c r="F27" s="24" t="n">
        <f aca="false">B27+C27+D27+E27</f>
        <v>7350</v>
      </c>
      <c r="G27" s="23" t="n">
        <v>2401.13</v>
      </c>
      <c r="H27" s="23" t="n">
        <v>81.35</v>
      </c>
      <c r="I27" s="23" t="n">
        <v>296.64</v>
      </c>
      <c r="J27" s="23" t="n">
        <v>147</v>
      </c>
      <c r="K27" s="23" t="n">
        <v>608.12</v>
      </c>
      <c r="L27" s="23" t="n">
        <v>0</v>
      </c>
      <c r="M27" s="24" t="n">
        <f aca="false">SUM(H27:L27)</f>
        <v>1133.11</v>
      </c>
      <c r="N27" s="24" t="n">
        <f aca="false">G27-M27</f>
        <v>1268.02</v>
      </c>
      <c r="O27" s="25" t="n">
        <f aca="false">IFERROR(G27/F27,0)</f>
        <v>0.326684353741497</v>
      </c>
      <c r="P27" s="26"/>
    </row>
    <row r="28" customFormat="false" ht="15" hidden="false" customHeight="false" outlineLevel="0" collapsed="false">
      <c r="A28" s="17" t="n">
        <v>46165</v>
      </c>
      <c r="B28" s="18" t="n">
        <v>1626</v>
      </c>
      <c r="C28" s="18" t="n">
        <v>3515</v>
      </c>
      <c r="D28" s="18" t="n">
        <v>0</v>
      </c>
      <c r="E28" s="18" t="n">
        <v>0</v>
      </c>
      <c r="F28" s="19" t="n">
        <f aca="false">B28+C28+D28+E28</f>
        <v>5141</v>
      </c>
      <c r="G28" s="18" t="n">
        <v>1832.53</v>
      </c>
      <c r="H28" s="18" t="n">
        <v>81.35</v>
      </c>
      <c r="I28" s="18" t="n">
        <v>296.64</v>
      </c>
      <c r="J28" s="18" t="n">
        <v>0</v>
      </c>
      <c r="K28" s="18" t="n">
        <v>608.12</v>
      </c>
      <c r="L28" s="18" t="n">
        <v>0</v>
      </c>
      <c r="M28" s="19" t="n">
        <f aca="false">SUM(H28:L28)</f>
        <v>986.11</v>
      </c>
      <c r="N28" s="19" t="n">
        <f aca="false">G28-M28</f>
        <v>846.42</v>
      </c>
      <c r="O28" s="20" t="n">
        <f aca="false">IFERROR(G28/F28,0)</f>
        <v>0.356453997276794</v>
      </c>
      <c r="P28" s="21"/>
    </row>
    <row r="29" customFormat="false" ht="15" hidden="false" customHeight="false" outlineLevel="0" collapsed="false">
      <c r="A29" s="22" t="n">
        <v>46166</v>
      </c>
      <c r="B29" s="23" t="n">
        <v>1333</v>
      </c>
      <c r="C29" s="23" t="n">
        <v>2070</v>
      </c>
      <c r="D29" s="23" t="n">
        <v>0</v>
      </c>
      <c r="E29" s="23" t="n">
        <v>0</v>
      </c>
      <c r="F29" s="24" t="n">
        <f aca="false">B29+C29+D29+E29</f>
        <v>3403</v>
      </c>
      <c r="G29" s="23" t="n">
        <v>1209.02</v>
      </c>
      <c r="H29" s="23" t="n">
        <v>81.35</v>
      </c>
      <c r="I29" s="23" t="n">
        <v>296.64</v>
      </c>
      <c r="J29" s="23" t="n">
        <v>5</v>
      </c>
      <c r="K29" s="23" t="n">
        <v>608.12</v>
      </c>
      <c r="L29" s="23" t="n">
        <v>0</v>
      </c>
      <c r="M29" s="24" t="n">
        <f aca="false">SUM(H29:L29)</f>
        <v>991.11</v>
      </c>
      <c r="N29" s="24" t="n">
        <f aca="false">G29-M29</f>
        <v>217.91</v>
      </c>
      <c r="O29" s="25" t="n">
        <f aca="false">IFERROR(G29/F29,0)</f>
        <v>0.355280634734058</v>
      </c>
      <c r="P29" s="26"/>
    </row>
    <row r="30" customFormat="false" ht="15" hidden="false" customHeight="false" outlineLevel="0" collapsed="false">
      <c r="A30" s="17" t="n">
        <v>46167</v>
      </c>
      <c r="B30" s="18" t="n">
        <v>1604</v>
      </c>
      <c r="C30" s="18" t="n">
        <v>3215</v>
      </c>
      <c r="D30" s="18" t="n">
        <v>0</v>
      </c>
      <c r="E30" s="18" t="n">
        <v>0</v>
      </c>
      <c r="F30" s="19" t="n">
        <f aca="false">B30+C30+D30+E30</f>
        <v>4819</v>
      </c>
      <c r="G30" s="18" t="n">
        <v>1611.39</v>
      </c>
      <c r="H30" s="18" t="n">
        <v>81.35</v>
      </c>
      <c r="I30" s="18" t="n">
        <v>296.64</v>
      </c>
      <c r="J30" s="18" t="n">
        <v>55</v>
      </c>
      <c r="K30" s="18" t="n">
        <v>608.12</v>
      </c>
      <c r="L30" s="18" t="n">
        <v>0</v>
      </c>
      <c r="M30" s="19" t="n">
        <f aca="false">SUM(H30:L30)</f>
        <v>1041.11</v>
      </c>
      <c r="N30" s="19" t="n">
        <f aca="false">G30-M30</f>
        <v>570.28</v>
      </c>
      <c r="O30" s="20" t="n">
        <f aca="false">IFERROR(G30/F30,0)</f>
        <v>0.33438265200249</v>
      </c>
      <c r="P30" s="21"/>
    </row>
    <row r="31" customFormat="false" ht="15" hidden="false" customHeight="false" outlineLevel="0" collapsed="false">
      <c r="A31" s="22" t="n">
        <v>46168</v>
      </c>
      <c r="B31" s="23" t="n">
        <v>1536</v>
      </c>
      <c r="C31" s="23" t="n">
        <v>2345</v>
      </c>
      <c r="D31" s="23" t="n">
        <v>0</v>
      </c>
      <c r="E31" s="23" t="n">
        <v>0</v>
      </c>
      <c r="F31" s="24" t="n">
        <f aca="false">B31+C31+D31+E31</f>
        <v>3881</v>
      </c>
      <c r="G31" s="23" t="n">
        <v>1176.69</v>
      </c>
      <c r="H31" s="23" t="n">
        <v>81.35</v>
      </c>
      <c r="I31" s="23" t="n">
        <v>296.64</v>
      </c>
      <c r="J31" s="23" t="n">
        <v>0</v>
      </c>
      <c r="K31" s="23" t="n">
        <v>608.12</v>
      </c>
      <c r="L31" s="23" t="n">
        <v>0</v>
      </c>
      <c r="M31" s="24" t="n">
        <f aca="false">SUM(H31:L31)</f>
        <v>986.11</v>
      </c>
      <c r="N31" s="24" t="n">
        <f aca="false">G31-M31</f>
        <v>190.58</v>
      </c>
      <c r="O31" s="25" t="n">
        <f aca="false">IFERROR(G31/F31,0)</f>
        <v>0.303192476165937</v>
      </c>
      <c r="P31" s="26"/>
    </row>
    <row r="32" customFormat="false" ht="15" hidden="false" customHeight="false" outlineLevel="0" collapsed="false">
      <c r="A32" s="17" t="n">
        <v>46169</v>
      </c>
      <c r="B32" s="18" t="n">
        <v>1395</v>
      </c>
      <c r="C32" s="18" t="n">
        <v>2589</v>
      </c>
      <c r="D32" s="18" t="n">
        <v>0</v>
      </c>
      <c r="E32" s="18" t="n">
        <v>0</v>
      </c>
      <c r="F32" s="19" t="n">
        <f aca="false">B32+C32+D32+E32</f>
        <v>3984</v>
      </c>
      <c r="G32" s="18" t="n">
        <v>1307.92</v>
      </c>
      <c r="H32" s="18" t="n">
        <v>81.35</v>
      </c>
      <c r="I32" s="18" t="n">
        <v>296.64</v>
      </c>
      <c r="J32" s="18" t="n">
        <v>0</v>
      </c>
      <c r="K32" s="18" t="n">
        <v>608.12</v>
      </c>
      <c r="L32" s="18" t="n">
        <v>0</v>
      </c>
      <c r="M32" s="19" t="n">
        <f aca="false">SUM(H32:L32)</f>
        <v>986.11</v>
      </c>
      <c r="N32" s="19" t="n">
        <f aca="false">G32-M32</f>
        <v>321.81</v>
      </c>
      <c r="O32" s="20" t="n">
        <f aca="false">IFERROR(G32/F32,0)</f>
        <v>0.328293172690763</v>
      </c>
      <c r="P32" s="21"/>
    </row>
    <row r="33" customFormat="false" ht="15" hidden="false" customHeight="false" outlineLevel="0" collapsed="false">
      <c r="A33" s="22" t="n">
        <v>46170</v>
      </c>
      <c r="B33" s="23" t="n">
        <v>0</v>
      </c>
      <c r="C33" s="23" t="n">
        <v>0</v>
      </c>
      <c r="D33" s="23" t="n">
        <v>0</v>
      </c>
      <c r="E33" s="23" t="n">
        <v>0</v>
      </c>
      <c r="F33" s="24" t="n">
        <f aca="false">B33+C33+D33+E33</f>
        <v>0</v>
      </c>
      <c r="G33" s="23" t="n">
        <v>0</v>
      </c>
      <c r="H33" s="23" t="n">
        <v>81.35</v>
      </c>
      <c r="I33" s="23" t="n">
        <v>296.64</v>
      </c>
      <c r="J33" s="23" t="n">
        <v>0</v>
      </c>
      <c r="K33" s="23" t="n">
        <v>0</v>
      </c>
      <c r="L33" s="23" t="n">
        <v>0</v>
      </c>
      <c r="M33" s="24" t="n">
        <f aca="false">SUM(H33:L33)</f>
        <v>377.99</v>
      </c>
      <c r="N33" s="24" t="n">
        <f aca="false">G33-M33</f>
        <v>-377.99</v>
      </c>
      <c r="O33" s="25" t="n">
        <f aca="false">IFERROR(G33/F33,0)</f>
        <v>0</v>
      </c>
      <c r="P33" s="26" t="s">
        <v>50</v>
      </c>
    </row>
    <row r="34" customFormat="false" ht="15" hidden="false" customHeight="false" outlineLevel="0" collapsed="false">
      <c r="A34" s="17" t="n">
        <v>46171</v>
      </c>
      <c r="B34" s="18" t="n">
        <v>2166</v>
      </c>
      <c r="C34" s="18" t="n">
        <v>5420</v>
      </c>
      <c r="D34" s="18" t="n">
        <v>-590</v>
      </c>
      <c r="E34" s="18" t="n">
        <v>0</v>
      </c>
      <c r="F34" s="19" t="n">
        <f aca="false">B34+C34+D34+E34</f>
        <v>6996</v>
      </c>
      <c r="G34" s="18" t="n">
        <v>2546.48</v>
      </c>
      <c r="H34" s="18" t="n">
        <v>81.35</v>
      </c>
      <c r="I34" s="18" t="n">
        <v>296.64</v>
      </c>
      <c r="J34" s="18" t="n">
        <v>0</v>
      </c>
      <c r="K34" s="18" t="n">
        <v>608.12</v>
      </c>
      <c r="L34" s="18" t="n">
        <v>0</v>
      </c>
      <c r="M34" s="19" t="n">
        <f aca="false">SUM(H34:L34)</f>
        <v>986.11</v>
      </c>
      <c r="N34" s="19" t="n">
        <f aca="false">G34-M34</f>
        <v>1560.37</v>
      </c>
      <c r="O34" s="20" t="n">
        <f aca="false">IFERROR(G34/F34,0)</f>
        <v>0.36399085191538</v>
      </c>
      <c r="P34" s="21"/>
    </row>
    <row r="35" customFormat="false" ht="15" hidden="false" customHeight="false" outlineLevel="0" collapsed="false">
      <c r="A35" s="22" t="n">
        <v>46172</v>
      </c>
      <c r="B35" s="23" t="n">
        <v>1394</v>
      </c>
      <c r="C35" s="23" t="n">
        <v>3639</v>
      </c>
      <c r="D35" s="23" t="n">
        <v>0</v>
      </c>
      <c r="E35" s="23" t="n">
        <v>0</v>
      </c>
      <c r="F35" s="24" t="n">
        <f aca="false">B35+C35+D35+E35</f>
        <v>5033</v>
      </c>
      <c r="G35" s="23" t="n">
        <v>1882.14</v>
      </c>
      <c r="H35" s="23" t="n">
        <v>81.35</v>
      </c>
      <c r="I35" s="23" t="n">
        <v>296.64</v>
      </c>
      <c r="J35" s="23" t="n">
        <v>0</v>
      </c>
      <c r="K35" s="23" t="n">
        <v>608.12</v>
      </c>
      <c r="L35" s="23" t="n">
        <v>0</v>
      </c>
      <c r="M35" s="24" t="n">
        <f aca="false">SUM(H35:L35)</f>
        <v>986.11</v>
      </c>
      <c r="N35" s="24" t="n">
        <f aca="false">G35-M35</f>
        <v>896.03</v>
      </c>
      <c r="O35" s="25" t="n">
        <f aca="false">IFERROR(G35/F35,0)</f>
        <v>0.373959864891715</v>
      </c>
      <c r="P35" s="26"/>
    </row>
    <row r="36" customFormat="false" ht="15" hidden="false" customHeight="false" outlineLevel="0" collapsed="false">
      <c r="A36" s="17" t="n">
        <v>46173</v>
      </c>
      <c r="B36" s="18" t="n">
        <v>1627</v>
      </c>
      <c r="C36" s="18" t="n">
        <v>3016</v>
      </c>
      <c r="D36" s="18" t="n">
        <v>0</v>
      </c>
      <c r="E36" s="18" t="n">
        <v>0</v>
      </c>
      <c r="F36" s="19" t="n">
        <f aca="false">B36+C36+D36+E36</f>
        <v>4643</v>
      </c>
      <c r="G36" s="18" t="n">
        <v>1665.93</v>
      </c>
      <c r="H36" s="18" t="n">
        <v>81.35</v>
      </c>
      <c r="I36" s="18" t="n">
        <v>296.64</v>
      </c>
      <c r="J36" s="18" t="n">
        <v>0</v>
      </c>
      <c r="K36" s="18" t="n">
        <v>608.12</v>
      </c>
      <c r="L36" s="18" t="n">
        <v>0</v>
      </c>
      <c r="M36" s="19" t="n">
        <f aca="false">SUM(H36:L36)</f>
        <v>986.11</v>
      </c>
      <c r="N36" s="19" t="n">
        <f aca="false">G36-M36</f>
        <v>679.82</v>
      </c>
      <c r="O36" s="20" t="n">
        <f aca="false">IFERROR(G36/F36,0)</f>
        <v>0.358804652164549</v>
      </c>
      <c r="P36" s="21"/>
    </row>
    <row r="38" customFormat="false" ht="15" hidden="false" customHeight="false" outlineLevel="0" collapsed="false">
      <c r="A38" s="27" t="s">
        <v>51</v>
      </c>
      <c r="B38" s="28" t="n">
        <f aca="false">SUM(B6:B36)</f>
        <v>48060</v>
      </c>
      <c r="C38" s="28" t="n">
        <f aca="false">SUM(C6:C36)</f>
        <v>103940</v>
      </c>
      <c r="D38" s="28" t="n">
        <f aca="false">SUM(D6:D36)</f>
        <v>-590</v>
      </c>
      <c r="E38" s="28" t="n">
        <f aca="false">SUM(E6:E36)</f>
        <v>425</v>
      </c>
      <c r="F38" s="28" t="n">
        <f aca="false">SUM(F6:F36)</f>
        <v>151835</v>
      </c>
      <c r="G38" s="28" t="n">
        <f aca="false">SUM(G6:G36)</f>
        <v>51201.26</v>
      </c>
      <c r="H38" s="28" t="n">
        <f aca="false">SUM(H6:H36)</f>
        <v>2521.85</v>
      </c>
      <c r="I38" s="28" t="n">
        <f aca="false">SUM(I6:I36)</f>
        <v>9195.84</v>
      </c>
      <c r="J38" s="28" t="n">
        <f aca="false">SUM(J6:J36)</f>
        <v>494</v>
      </c>
      <c r="K38" s="28" t="n">
        <f aca="false">SUM(K6:K36)</f>
        <v>18243.6</v>
      </c>
      <c r="L38" s="28" t="n">
        <f aca="false">SUM(L6:L36)</f>
        <v>38</v>
      </c>
      <c r="M38" s="28" t="n">
        <f aca="false">SUM(M6:M36)</f>
        <v>30493.29</v>
      </c>
      <c r="N38" s="28" t="n">
        <f aca="false">SUM(N6:N36)</f>
        <v>20707.97</v>
      </c>
      <c r="O38" s="29" t="n">
        <f aca="false">IFERROR(G38/F38,0)</f>
        <v>0.337216452069681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46174</v>
      </c>
      <c r="B6" s="18" t="n">
        <v>613</v>
      </c>
      <c r="C6" s="18" t="n">
        <v>1449</v>
      </c>
      <c r="D6" s="18" t="n">
        <v>0</v>
      </c>
      <c r="E6" s="18" t="n">
        <v>0</v>
      </c>
      <c r="F6" s="19" t="n">
        <f aca="false">B6+C6+D6+E6</f>
        <v>2062</v>
      </c>
      <c r="G6" s="18" t="n">
        <v>758.49</v>
      </c>
      <c r="H6" s="18" t="n">
        <v>84.38</v>
      </c>
      <c r="I6" s="18" t="n">
        <v>304.67</v>
      </c>
      <c r="J6" s="18" t="n">
        <v>0</v>
      </c>
      <c r="K6" s="18" t="n">
        <v>566.04</v>
      </c>
      <c r="L6" s="18" t="n">
        <v>0</v>
      </c>
      <c r="M6" s="19" t="n">
        <f aca="false">SUM(H6:L6)</f>
        <v>955.09</v>
      </c>
      <c r="N6" s="19" t="n">
        <f aca="false">G6-M6</f>
        <v>-196.6</v>
      </c>
      <c r="O6" s="20" t="n">
        <f aca="false">IFERROR(G6/F6,0)</f>
        <v>0.367841901066925</v>
      </c>
      <c r="P6" s="21"/>
    </row>
    <row r="7" customFormat="false" ht="15" hidden="false" customHeight="false" outlineLevel="0" collapsed="false">
      <c r="A7" s="22" t="n">
        <v>46175</v>
      </c>
      <c r="B7" s="23" t="n">
        <v>790</v>
      </c>
      <c r="C7" s="23" t="n">
        <v>1877</v>
      </c>
      <c r="D7" s="23" t="n">
        <v>0</v>
      </c>
      <c r="E7" s="23" t="n">
        <v>0</v>
      </c>
      <c r="F7" s="24" t="n">
        <f aca="false">B7+C7+D7+E7</f>
        <v>2667</v>
      </c>
      <c r="G7" s="23" t="n">
        <v>887.23</v>
      </c>
      <c r="H7" s="23" t="n">
        <v>84.38</v>
      </c>
      <c r="I7" s="23" t="n">
        <v>304.67</v>
      </c>
      <c r="J7" s="23" t="n">
        <v>0</v>
      </c>
      <c r="K7" s="23" t="n">
        <v>566.04</v>
      </c>
      <c r="L7" s="23" t="n">
        <v>0</v>
      </c>
      <c r="M7" s="24" t="n">
        <f aca="false">SUM(H7:L7)</f>
        <v>955.09</v>
      </c>
      <c r="N7" s="24" t="n">
        <f aca="false">G7-M7</f>
        <v>-67.8599999999999</v>
      </c>
      <c r="O7" s="25" t="n">
        <f aca="false">IFERROR(G7/F7,0)</f>
        <v>0.332669666291714</v>
      </c>
      <c r="P7" s="26"/>
    </row>
    <row r="8" customFormat="false" ht="15" hidden="false" customHeight="false" outlineLevel="0" collapsed="false">
      <c r="A8" s="17" t="n">
        <v>46176</v>
      </c>
      <c r="B8" s="18" t="n">
        <v>749</v>
      </c>
      <c r="C8" s="18" t="n">
        <v>2034</v>
      </c>
      <c r="D8" s="18" t="n">
        <v>0</v>
      </c>
      <c r="E8" s="18" t="n">
        <v>0</v>
      </c>
      <c r="F8" s="19" t="n">
        <f aca="false">B8+C8+D8+E8</f>
        <v>2783</v>
      </c>
      <c r="G8" s="18" t="n">
        <v>928.51</v>
      </c>
      <c r="H8" s="18" t="n">
        <v>84.38</v>
      </c>
      <c r="I8" s="18" t="n">
        <v>304.67</v>
      </c>
      <c r="J8" s="18" t="n">
        <v>0</v>
      </c>
      <c r="K8" s="18" t="n">
        <v>566.04</v>
      </c>
      <c r="L8" s="18" t="n">
        <v>0</v>
      </c>
      <c r="M8" s="19" t="n">
        <f aca="false">SUM(H8:L8)</f>
        <v>955.09</v>
      </c>
      <c r="N8" s="19" t="n">
        <f aca="false">G8-M8</f>
        <v>-26.5799999999999</v>
      </c>
      <c r="O8" s="20" t="n">
        <f aca="false">IFERROR(G8/F8,0)</f>
        <v>0.333636363636364</v>
      </c>
      <c r="P8" s="21"/>
    </row>
    <row r="9" customFormat="false" ht="15" hidden="false" customHeight="false" outlineLevel="0" collapsed="false">
      <c r="A9" s="22" t="n">
        <v>46177</v>
      </c>
      <c r="B9" s="23" t="n">
        <v>774</v>
      </c>
      <c r="C9" s="23" t="n">
        <v>1233</v>
      </c>
      <c r="D9" s="23" t="n">
        <v>0</v>
      </c>
      <c r="E9" s="23" t="n">
        <v>0</v>
      </c>
      <c r="F9" s="24" t="n">
        <f aca="false">B9+C9+D9+E9</f>
        <v>2007</v>
      </c>
      <c r="G9" s="23" t="n">
        <v>700.93</v>
      </c>
      <c r="H9" s="23" t="n">
        <v>84.38</v>
      </c>
      <c r="I9" s="23" t="n">
        <v>304.67</v>
      </c>
      <c r="J9" s="23" t="n">
        <v>0</v>
      </c>
      <c r="K9" s="23" t="n">
        <v>566.04</v>
      </c>
      <c r="L9" s="23" t="n">
        <v>0</v>
      </c>
      <c r="M9" s="24" t="n">
        <f aca="false">SUM(H9:L9)</f>
        <v>955.09</v>
      </c>
      <c r="N9" s="24" t="n">
        <f aca="false">G9-M9</f>
        <v>-254.16</v>
      </c>
      <c r="O9" s="25" t="n">
        <f aca="false">IFERROR(G9/F9,0)</f>
        <v>0.349242650722471</v>
      </c>
      <c r="P9" s="26"/>
    </row>
    <row r="10" customFormat="false" ht="15" hidden="false" customHeight="false" outlineLevel="0" collapsed="false">
      <c r="A10" s="17" t="n">
        <v>46178</v>
      </c>
      <c r="B10" s="18" t="n">
        <v>815</v>
      </c>
      <c r="C10" s="18" t="n">
        <v>2446</v>
      </c>
      <c r="D10" s="18" t="n">
        <v>0</v>
      </c>
      <c r="E10" s="18" t="n">
        <v>0</v>
      </c>
      <c r="F10" s="19" t="n">
        <f aca="false">B10+C10+D10+E10</f>
        <v>3261</v>
      </c>
      <c r="G10" s="18" t="n">
        <v>1053.15</v>
      </c>
      <c r="H10" s="18" t="n">
        <v>84.38</v>
      </c>
      <c r="I10" s="18" t="n">
        <v>304.67</v>
      </c>
      <c r="J10" s="18" t="n">
        <v>0</v>
      </c>
      <c r="K10" s="18" t="n">
        <v>566.04</v>
      </c>
      <c r="L10" s="18" t="n">
        <v>0</v>
      </c>
      <c r="M10" s="19" t="n">
        <f aca="false">SUM(H10:L10)</f>
        <v>955.09</v>
      </c>
      <c r="N10" s="19" t="n">
        <f aca="false">G10-M10</f>
        <v>98.0600000000002</v>
      </c>
      <c r="O10" s="20" t="n">
        <f aca="false">IFERROR(G10/F10,0)</f>
        <v>0.322953081876725</v>
      </c>
      <c r="P10" s="21"/>
    </row>
    <row r="11" customFormat="false" ht="15" hidden="false" customHeight="false" outlineLevel="0" collapsed="false">
      <c r="A11" s="22" t="n">
        <v>46179</v>
      </c>
      <c r="B11" s="23" t="n">
        <v>1007</v>
      </c>
      <c r="C11" s="23" t="n">
        <v>1886</v>
      </c>
      <c r="D11" s="23" t="n">
        <v>0</v>
      </c>
      <c r="E11" s="23" t="n">
        <v>0</v>
      </c>
      <c r="F11" s="24" t="n">
        <f aca="false">B11+C11+D11+E11</f>
        <v>2893</v>
      </c>
      <c r="G11" s="23" t="n">
        <v>975.52</v>
      </c>
      <c r="H11" s="23" t="n">
        <v>84.38</v>
      </c>
      <c r="I11" s="23" t="n">
        <v>304.67</v>
      </c>
      <c r="J11" s="23" t="n">
        <v>0</v>
      </c>
      <c r="K11" s="23" t="n">
        <v>566.04</v>
      </c>
      <c r="L11" s="23" t="n">
        <v>0</v>
      </c>
      <c r="M11" s="24" t="n">
        <f aca="false">SUM(H11:L11)</f>
        <v>955.09</v>
      </c>
      <c r="N11" s="24" t="n">
        <f aca="false">G11-M11</f>
        <v>20.4300000000001</v>
      </c>
      <c r="O11" s="25" t="n">
        <f aca="false">IFERROR(G11/F11,0)</f>
        <v>0.337200138264777</v>
      </c>
      <c r="P11" s="26"/>
    </row>
    <row r="12" customFormat="false" ht="15" hidden="false" customHeight="false" outlineLevel="0" collapsed="false">
      <c r="A12" s="17" t="n">
        <v>46180</v>
      </c>
      <c r="B12" s="18" t="n">
        <v>764</v>
      </c>
      <c r="C12" s="18" t="n">
        <v>1615</v>
      </c>
      <c r="D12" s="18" t="n">
        <v>0</v>
      </c>
      <c r="E12" s="18" t="n">
        <v>0</v>
      </c>
      <c r="F12" s="19" t="n">
        <f aca="false">B12+C12+D12+E12</f>
        <v>2379</v>
      </c>
      <c r="G12" s="18" t="n">
        <v>885.21</v>
      </c>
      <c r="H12" s="18" t="n">
        <v>84.38</v>
      </c>
      <c r="I12" s="18" t="n">
        <v>304.67</v>
      </c>
      <c r="J12" s="18" t="n">
        <v>0</v>
      </c>
      <c r="K12" s="18" t="n">
        <v>566.04</v>
      </c>
      <c r="L12" s="18" t="n">
        <v>0</v>
      </c>
      <c r="M12" s="19" t="n">
        <f aca="false">SUM(H12:L12)</f>
        <v>955.09</v>
      </c>
      <c r="N12" s="19" t="n">
        <f aca="false">G12-M12</f>
        <v>-69.8799999999999</v>
      </c>
      <c r="O12" s="20" t="n">
        <f aca="false">IFERROR(G12/F12,0)</f>
        <v>0.372093316519546</v>
      </c>
      <c r="P12" s="21"/>
    </row>
    <row r="13" customFormat="false" ht="15" hidden="false" customHeight="false" outlineLevel="0" collapsed="false">
      <c r="A13" s="22" t="n">
        <v>46181</v>
      </c>
      <c r="B13" s="23" t="n">
        <v>603</v>
      </c>
      <c r="C13" s="23" t="n">
        <v>1694</v>
      </c>
      <c r="D13" s="23" t="n">
        <v>0</v>
      </c>
      <c r="E13" s="23" t="n">
        <v>0</v>
      </c>
      <c r="F13" s="24" t="n">
        <f aca="false">B13+C13+D13+E13</f>
        <v>2297</v>
      </c>
      <c r="G13" s="23" t="n">
        <v>783.82</v>
      </c>
      <c r="H13" s="23" t="n">
        <v>84.38</v>
      </c>
      <c r="I13" s="23" t="n">
        <v>304.67</v>
      </c>
      <c r="J13" s="23" t="n">
        <v>0</v>
      </c>
      <c r="K13" s="23" t="n">
        <v>566.04</v>
      </c>
      <c r="L13" s="23" t="n">
        <v>0</v>
      </c>
      <c r="M13" s="24" t="n">
        <f aca="false">SUM(H13:L13)</f>
        <v>955.09</v>
      </c>
      <c r="N13" s="24" t="n">
        <f aca="false">G13-M13</f>
        <v>-171.27</v>
      </c>
      <c r="O13" s="25" t="n">
        <f aca="false">IFERROR(G13/F13,0)</f>
        <v>0.341236395298215</v>
      </c>
      <c r="P13" s="26"/>
    </row>
    <row r="14" customFormat="false" ht="15" hidden="false" customHeight="false" outlineLevel="0" collapsed="false">
      <c r="A14" s="17" t="n">
        <v>46182</v>
      </c>
      <c r="B14" s="18" t="n">
        <v>1025</v>
      </c>
      <c r="C14" s="18" t="n">
        <v>1726</v>
      </c>
      <c r="D14" s="18" t="n">
        <v>0</v>
      </c>
      <c r="E14" s="18" t="n">
        <v>0</v>
      </c>
      <c r="F14" s="19" t="n">
        <f aca="false">B14+C14+D14+E14</f>
        <v>2751</v>
      </c>
      <c r="G14" s="18" t="n">
        <v>990.61</v>
      </c>
      <c r="H14" s="18" t="n">
        <v>84.38</v>
      </c>
      <c r="I14" s="18" t="n">
        <v>304.67</v>
      </c>
      <c r="J14" s="18" t="n">
        <v>0</v>
      </c>
      <c r="K14" s="18" t="n">
        <v>566.04</v>
      </c>
      <c r="L14" s="18" t="n">
        <v>0</v>
      </c>
      <c r="M14" s="19" t="n">
        <f aca="false">SUM(H14:L14)</f>
        <v>955.09</v>
      </c>
      <c r="N14" s="19" t="n">
        <f aca="false">G14-M14</f>
        <v>35.5200000000001</v>
      </c>
      <c r="O14" s="20" t="n">
        <f aca="false">IFERROR(G14/F14,0)</f>
        <v>0.360090876045075</v>
      </c>
      <c r="P14" s="21"/>
    </row>
    <row r="15" customFormat="false" ht="15" hidden="false" customHeight="false" outlineLevel="0" collapsed="false">
      <c r="A15" s="22" t="n">
        <v>46183</v>
      </c>
      <c r="B15" s="23" t="n">
        <v>510</v>
      </c>
      <c r="C15" s="23" t="n">
        <v>1312</v>
      </c>
      <c r="D15" s="23" t="n">
        <v>0</v>
      </c>
      <c r="E15" s="23" t="n">
        <v>0</v>
      </c>
      <c r="F15" s="24" t="n">
        <f aca="false">B15+C15+D15+E15</f>
        <v>1822</v>
      </c>
      <c r="G15" s="23" t="n">
        <v>550.16</v>
      </c>
      <c r="H15" s="23" t="n">
        <v>84.38</v>
      </c>
      <c r="I15" s="23" t="n">
        <v>304.67</v>
      </c>
      <c r="J15" s="23" t="n">
        <v>0</v>
      </c>
      <c r="K15" s="23" t="n">
        <v>566.04</v>
      </c>
      <c r="L15" s="23" t="n">
        <v>0</v>
      </c>
      <c r="M15" s="24" t="n">
        <f aca="false">SUM(H15:L15)</f>
        <v>955.09</v>
      </c>
      <c r="N15" s="24" t="n">
        <f aca="false">G15-M15</f>
        <v>-404.93</v>
      </c>
      <c r="O15" s="25" t="n">
        <f aca="false">IFERROR(G15/F15,0)</f>
        <v>0.301953896816685</v>
      </c>
      <c r="P15" s="26"/>
    </row>
    <row r="16" customFormat="false" ht="15" hidden="false" customHeight="false" outlineLevel="0" collapsed="false">
      <c r="A16" s="17" t="n">
        <v>46184</v>
      </c>
      <c r="B16" s="18" t="n">
        <v>1052</v>
      </c>
      <c r="C16" s="18" t="n">
        <v>1735</v>
      </c>
      <c r="D16" s="18" t="n">
        <v>0</v>
      </c>
      <c r="E16" s="18" t="n">
        <v>0</v>
      </c>
      <c r="F16" s="19" t="n">
        <f aca="false">B16+C16+D16+E16</f>
        <v>2787</v>
      </c>
      <c r="G16" s="18" t="n">
        <v>852.34</v>
      </c>
      <c r="H16" s="18" t="n">
        <v>84.38</v>
      </c>
      <c r="I16" s="18" t="n">
        <v>304.67</v>
      </c>
      <c r="J16" s="18" t="n">
        <v>0</v>
      </c>
      <c r="K16" s="18" t="n">
        <v>566.04</v>
      </c>
      <c r="L16" s="18" t="n">
        <v>0</v>
      </c>
      <c r="M16" s="19" t="n">
        <f aca="false">SUM(H16:L16)</f>
        <v>955.09</v>
      </c>
      <c r="N16" s="19" t="n">
        <f aca="false">G16-M16</f>
        <v>-102.75</v>
      </c>
      <c r="O16" s="20" t="n">
        <f aca="false">IFERROR(G16/F16,0)</f>
        <v>0.305827054180122</v>
      </c>
      <c r="P16" s="21"/>
    </row>
    <row r="17" customFormat="false" ht="15" hidden="false" customHeight="false" outlineLevel="0" collapsed="false">
      <c r="A17" s="22" t="n">
        <v>46185</v>
      </c>
      <c r="B17" s="23" t="n">
        <v>714</v>
      </c>
      <c r="C17" s="23" t="n">
        <v>1842</v>
      </c>
      <c r="D17" s="23" t="n">
        <v>-1871</v>
      </c>
      <c r="E17" s="23" t="n">
        <v>0</v>
      </c>
      <c r="F17" s="24" t="n">
        <f aca="false">B17+C17+D17+E17</f>
        <v>685</v>
      </c>
      <c r="G17" s="23" t="n">
        <v>232.59</v>
      </c>
      <c r="H17" s="23" t="n">
        <v>84.38</v>
      </c>
      <c r="I17" s="23" t="n">
        <v>304.67</v>
      </c>
      <c r="J17" s="23" t="n">
        <v>0</v>
      </c>
      <c r="K17" s="23" t="n">
        <v>566.04</v>
      </c>
      <c r="L17" s="23" t="n">
        <v>0</v>
      </c>
      <c r="M17" s="24" t="n">
        <f aca="false">SUM(H17:L17)</f>
        <v>955.09</v>
      </c>
      <c r="N17" s="24" t="n">
        <f aca="false">G17-M17</f>
        <v>-722.5</v>
      </c>
      <c r="O17" s="25" t="n">
        <f aca="false">IFERROR(G17/F17,0)</f>
        <v>0.339547445255475</v>
      </c>
      <c r="P17" s="26"/>
    </row>
    <row r="18" customFormat="false" ht="15" hidden="false" customHeight="false" outlineLevel="0" collapsed="false">
      <c r="A18" s="17" t="n">
        <v>46186</v>
      </c>
      <c r="B18" s="18" t="n">
        <v>0</v>
      </c>
      <c r="C18" s="18" t="n">
        <v>0</v>
      </c>
      <c r="D18" s="18" t="n">
        <v>0</v>
      </c>
      <c r="E18" s="18" t="n">
        <v>0</v>
      </c>
      <c r="F18" s="19" t="n">
        <f aca="false">B18+C18+D18+E18</f>
        <v>0</v>
      </c>
      <c r="G18" s="18" t="n">
        <v>0</v>
      </c>
      <c r="H18" s="18" t="n">
        <v>84.38</v>
      </c>
      <c r="I18" s="18" t="n">
        <v>304.67</v>
      </c>
      <c r="J18" s="18" t="n">
        <v>0</v>
      </c>
      <c r="K18" s="18" t="n">
        <v>0</v>
      </c>
      <c r="L18" s="18" t="n">
        <v>0</v>
      </c>
      <c r="M18" s="19" t="n">
        <f aca="false">SUM(H18:L18)</f>
        <v>389.05</v>
      </c>
      <c r="N18" s="19" t="n">
        <f aca="false">G18-M18</f>
        <v>-389.05</v>
      </c>
      <c r="O18" s="20" t="n">
        <f aca="false">IFERROR(G18/F18,0)</f>
        <v>0</v>
      </c>
      <c r="P18" s="21" t="s">
        <v>50</v>
      </c>
    </row>
    <row r="19" customFormat="false" ht="15" hidden="false" customHeight="false" outlineLevel="0" collapsed="false">
      <c r="A19" s="22" t="n">
        <v>46187</v>
      </c>
      <c r="B19" s="23" t="n">
        <v>450</v>
      </c>
      <c r="C19" s="23" t="n">
        <v>1243</v>
      </c>
      <c r="D19" s="23" t="n">
        <v>0</v>
      </c>
      <c r="E19" s="23" t="n">
        <v>0</v>
      </c>
      <c r="F19" s="24" t="n">
        <f aca="false">B19+C19+D19+E19</f>
        <v>1693</v>
      </c>
      <c r="G19" s="23" t="n">
        <v>565.48</v>
      </c>
      <c r="H19" s="23" t="n">
        <v>84.38</v>
      </c>
      <c r="I19" s="23" t="n">
        <v>304.67</v>
      </c>
      <c r="J19" s="23" t="n">
        <v>0</v>
      </c>
      <c r="K19" s="23" t="n">
        <v>566.04</v>
      </c>
      <c r="L19" s="23" t="n">
        <v>0</v>
      </c>
      <c r="M19" s="24" t="n">
        <f aca="false">SUM(H19:L19)</f>
        <v>955.09</v>
      </c>
      <c r="N19" s="24" t="n">
        <f aca="false">G19-M19</f>
        <v>-389.61</v>
      </c>
      <c r="O19" s="25" t="n">
        <f aca="false">IFERROR(G19/F19,0)</f>
        <v>0.334010632014176</v>
      </c>
      <c r="P19" s="26"/>
    </row>
    <row r="20" customFormat="false" ht="15" hidden="false" customHeight="false" outlineLevel="0" collapsed="false">
      <c r="A20" s="17" t="n">
        <v>46188</v>
      </c>
      <c r="B20" s="18" t="n">
        <v>594</v>
      </c>
      <c r="C20" s="18" t="n">
        <v>1220</v>
      </c>
      <c r="D20" s="18" t="n">
        <v>0</v>
      </c>
      <c r="E20" s="18" t="n">
        <v>0</v>
      </c>
      <c r="F20" s="19" t="n">
        <f aca="false">B20+C20+D20+E20</f>
        <v>1814</v>
      </c>
      <c r="G20" s="18" t="n">
        <v>551.49</v>
      </c>
      <c r="H20" s="18" t="n">
        <v>84.38</v>
      </c>
      <c r="I20" s="18" t="n">
        <v>304.67</v>
      </c>
      <c r="J20" s="18" t="n">
        <v>0</v>
      </c>
      <c r="K20" s="18" t="n">
        <v>566.04</v>
      </c>
      <c r="L20" s="18" t="n">
        <v>0</v>
      </c>
      <c r="M20" s="19" t="n">
        <f aca="false">SUM(H20:L20)</f>
        <v>955.09</v>
      </c>
      <c r="N20" s="19" t="n">
        <f aca="false">G20-M20</f>
        <v>-403.6</v>
      </c>
      <c r="O20" s="20" t="n">
        <f aca="false">IFERROR(G20/F20,0)</f>
        <v>0.304018743109151</v>
      </c>
      <c r="P20" s="21"/>
    </row>
    <row r="21" customFormat="false" ht="15" hidden="false" customHeight="false" outlineLevel="0" collapsed="false">
      <c r="A21" s="22" t="n">
        <v>46189</v>
      </c>
      <c r="B21" s="23" t="n">
        <v>695</v>
      </c>
      <c r="C21" s="23" t="n">
        <v>1487</v>
      </c>
      <c r="D21" s="23" t="n">
        <v>0</v>
      </c>
      <c r="E21" s="23" t="n">
        <v>2274</v>
      </c>
      <c r="F21" s="24" t="n">
        <f aca="false">B21+C21+D21+E21</f>
        <v>4456</v>
      </c>
      <c r="G21" s="23" t="n">
        <v>1574.78</v>
      </c>
      <c r="H21" s="23" t="n">
        <v>84.38</v>
      </c>
      <c r="I21" s="23" t="n">
        <v>304.67</v>
      </c>
      <c r="J21" s="23" t="n">
        <v>0</v>
      </c>
      <c r="K21" s="23" t="n">
        <v>566.04</v>
      </c>
      <c r="L21" s="23" t="n">
        <v>0</v>
      </c>
      <c r="M21" s="24" t="n">
        <f aca="false">SUM(H21:L21)</f>
        <v>955.09</v>
      </c>
      <c r="N21" s="24" t="n">
        <f aca="false">G21-M21</f>
        <v>619.69</v>
      </c>
      <c r="O21" s="25" t="n">
        <f aca="false">IFERROR(G21/F21,0)</f>
        <v>0.353406642728905</v>
      </c>
      <c r="P21" s="26"/>
    </row>
    <row r="22" customFormat="false" ht="15" hidden="false" customHeight="false" outlineLevel="0" collapsed="false">
      <c r="A22" s="17" t="n">
        <v>46190</v>
      </c>
      <c r="B22" s="18" t="n">
        <v>987</v>
      </c>
      <c r="C22" s="18" t="n">
        <v>1527</v>
      </c>
      <c r="D22" s="18" t="n">
        <v>0</v>
      </c>
      <c r="E22" s="18" t="n">
        <v>0</v>
      </c>
      <c r="F22" s="19" t="n">
        <f aca="false">B22+C22+D22+E22</f>
        <v>2514</v>
      </c>
      <c r="G22" s="18" t="n">
        <v>933.48</v>
      </c>
      <c r="H22" s="18" t="n">
        <v>84.38</v>
      </c>
      <c r="I22" s="18" t="n">
        <v>304.67</v>
      </c>
      <c r="J22" s="18" t="n">
        <v>0</v>
      </c>
      <c r="K22" s="18" t="n">
        <v>566.04</v>
      </c>
      <c r="L22" s="18" t="n">
        <v>0</v>
      </c>
      <c r="M22" s="19" t="n">
        <f aca="false">SUM(H22:L22)</f>
        <v>955.09</v>
      </c>
      <c r="N22" s="19" t="n">
        <f aca="false">G22-M22</f>
        <v>-21.6099999999999</v>
      </c>
      <c r="O22" s="20" t="n">
        <f aca="false">IFERROR(G22/F22,0)</f>
        <v>0.371312649164678</v>
      </c>
      <c r="P22" s="21"/>
    </row>
    <row r="23" customFormat="false" ht="15" hidden="false" customHeight="false" outlineLevel="0" collapsed="false">
      <c r="A23" s="22" t="n">
        <v>46191</v>
      </c>
      <c r="B23" s="23" t="n">
        <v>666</v>
      </c>
      <c r="C23" s="23" t="n">
        <v>1380</v>
      </c>
      <c r="D23" s="23" t="n">
        <v>0</v>
      </c>
      <c r="E23" s="23" t="n">
        <v>0</v>
      </c>
      <c r="F23" s="24" t="n">
        <f aca="false">B23+C23+D23+E23</f>
        <v>2046</v>
      </c>
      <c r="G23" s="23" t="n">
        <v>749.75</v>
      </c>
      <c r="H23" s="23" t="n">
        <v>84.38</v>
      </c>
      <c r="I23" s="23" t="n">
        <v>304.67</v>
      </c>
      <c r="J23" s="23" t="n">
        <v>0</v>
      </c>
      <c r="K23" s="23" t="n">
        <v>566.04</v>
      </c>
      <c r="L23" s="23" t="n">
        <v>0</v>
      </c>
      <c r="M23" s="24" t="n">
        <f aca="false">SUM(H23:L23)</f>
        <v>955.09</v>
      </c>
      <c r="N23" s="24" t="n">
        <f aca="false">G23-M23</f>
        <v>-205.34</v>
      </c>
      <c r="O23" s="25" t="n">
        <f aca="false">IFERROR(G23/F23,0)</f>
        <v>0.366446725317693</v>
      </c>
      <c r="P23" s="26"/>
    </row>
    <row r="24" customFormat="false" ht="15" hidden="false" customHeight="false" outlineLevel="0" collapsed="false">
      <c r="A24" s="17" t="n">
        <v>46192</v>
      </c>
      <c r="B24" s="18" t="n">
        <v>1159</v>
      </c>
      <c r="C24" s="18" t="n">
        <v>2048</v>
      </c>
      <c r="D24" s="18" t="n">
        <v>0</v>
      </c>
      <c r="E24" s="18" t="n">
        <v>0</v>
      </c>
      <c r="F24" s="19" t="n">
        <f aca="false">B24+C24+D24+E24</f>
        <v>3207</v>
      </c>
      <c r="G24" s="18" t="n">
        <v>1083.88</v>
      </c>
      <c r="H24" s="18" t="n">
        <v>84.38</v>
      </c>
      <c r="I24" s="18" t="n">
        <v>304.67</v>
      </c>
      <c r="J24" s="18" t="n">
        <v>0</v>
      </c>
      <c r="K24" s="18" t="n">
        <v>566.04</v>
      </c>
      <c r="L24" s="18" t="n">
        <v>0</v>
      </c>
      <c r="M24" s="19" t="n">
        <f aca="false">SUM(H24:L24)</f>
        <v>955.09</v>
      </c>
      <c r="N24" s="19" t="n">
        <f aca="false">G24-M24</f>
        <v>128.79</v>
      </c>
      <c r="O24" s="20" t="n">
        <f aca="false">IFERROR(G24/F24,0)</f>
        <v>0.337973183660742</v>
      </c>
      <c r="P24" s="21"/>
    </row>
    <row r="25" customFormat="false" ht="15" hidden="false" customHeight="false" outlineLevel="0" collapsed="false">
      <c r="A25" s="22" t="n">
        <v>46193</v>
      </c>
      <c r="B25" s="23" t="n">
        <v>1059</v>
      </c>
      <c r="C25" s="23" t="n">
        <v>2004</v>
      </c>
      <c r="D25" s="23" t="n">
        <v>0</v>
      </c>
      <c r="E25" s="23" t="n">
        <v>0</v>
      </c>
      <c r="F25" s="24" t="n">
        <f aca="false">B25+C25+D25+E25</f>
        <v>3063</v>
      </c>
      <c r="G25" s="23" t="n">
        <v>1106.55</v>
      </c>
      <c r="H25" s="23" t="n">
        <v>84.38</v>
      </c>
      <c r="I25" s="23" t="n">
        <v>304.67</v>
      </c>
      <c r="J25" s="23" t="n">
        <v>0</v>
      </c>
      <c r="K25" s="23" t="n">
        <v>566.04</v>
      </c>
      <c r="L25" s="23" t="n">
        <v>0</v>
      </c>
      <c r="M25" s="24" t="n">
        <f aca="false">SUM(H25:L25)</f>
        <v>955.09</v>
      </c>
      <c r="N25" s="24" t="n">
        <f aca="false">G25-M25</f>
        <v>151.46</v>
      </c>
      <c r="O25" s="25" t="n">
        <f aca="false">IFERROR(G25/F25,0)</f>
        <v>0.36126346718903</v>
      </c>
      <c r="P25" s="26"/>
    </row>
    <row r="26" customFormat="false" ht="15" hidden="false" customHeight="false" outlineLevel="0" collapsed="false">
      <c r="A26" s="17" t="n">
        <v>46194</v>
      </c>
      <c r="B26" s="18" t="n">
        <v>526</v>
      </c>
      <c r="C26" s="18" t="n">
        <v>1281</v>
      </c>
      <c r="D26" s="18" t="n">
        <v>0</v>
      </c>
      <c r="E26" s="18" t="n">
        <v>0</v>
      </c>
      <c r="F26" s="19" t="n">
        <f aca="false">B26+C26+D26+E26</f>
        <v>1807</v>
      </c>
      <c r="G26" s="18" t="n">
        <v>553.3</v>
      </c>
      <c r="H26" s="18" t="n">
        <v>84.38</v>
      </c>
      <c r="I26" s="18" t="n">
        <v>304.67</v>
      </c>
      <c r="J26" s="18" t="n">
        <v>0</v>
      </c>
      <c r="K26" s="18" t="n">
        <v>566.04</v>
      </c>
      <c r="L26" s="18" t="n">
        <v>0</v>
      </c>
      <c r="M26" s="19" t="n">
        <f aca="false">SUM(H26:L26)</f>
        <v>955.09</v>
      </c>
      <c r="N26" s="19" t="n">
        <f aca="false">G26-M26</f>
        <v>-401.79</v>
      </c>
      <c r="O26" s="20" t="n">
        <f aca="false">IFERROR(G26/F26,0)</f>
        <v>0.306198118428334</v>
      </c>
      <c r="P26" s="21"/>
    </row>
    <row r="27" customFormat="false" ht="15" hidden="false" customHeight="false" outlineLevel="0" collapsed="false">
      <c r="A27" s="22" t="n">
        <v>46195</v>
      </c>
      <c r="B27" s="23" t="n">
        <v>698</v>
      </c>
      <c r="C27" s="23" t="n">
        <v>1644</v>
      </c>
      <c r="D27" s="23" t="n">
        <v>0</v>
      </c>
      <c r="E27" s="23" t="n">
        <v>0</v>
      </c>
      <c r="F27" s="24" t="n">
        <f aca="false">B27+C27+D27+E27</f>
        <v>2342</v>
      </c>
      <c r="G27" s="23" t="n">
        <v>803.8</v>
      </c>
      <c r="H27" s="23" t="n">
        <v>84.38</v>
      </c>
      <c r="I27" s="23" t="n">
        <v>304.67</v>
      </c>
      <c r="J27" s="23" t="n">
        <v>35</v>
      </c>
      <c r="K27" s="23" t="n">
        <v>566.04</v>
      </c>
      <c r="L27" s="23" t="n">
        <v>0</v>
      </c>
      <c r="M27" s="24" t="n">
        <f aca="false">SUM(H27:L27)</f>
        <v>990.09</v>
      </c>
      <c r="N27" s="24" t="n">
        <f aca="false">G27-M27</f>
        <v>-186.29</v>
      </c>
      <c r="O27" s="25" t="n">
        <f aca="false">IFERROR(G27/F27,0)</f>
        <v>0.343210930828352</v>
      </c>
      <c r="P27" s="26"/>
    </row>
    <row r="28" customFormat="false" ht="15" hidden="false" customHeight="false" outlineLevel="0" collapsed="false">
      <c r="A28" s="17" t="n">
        <v>46196</v>
      </c>
      <c r="B28" s="18" t="n">
        <v>704</v>
      </c>
      <c r="C28" s="18" t="n">
        <v>1275</v>
      </c>
      <c r="D28" s="18" t="n">
        <v>0</v>
      </c>
      <c r="E28" s="18" t="n">
        <v>0</v>
      </c>
      <c r="F28" s="19" t="n">
        <f aca="false">B28+C28+D28+E28</f>
        <v>1979</v>
      </c>
      <c r="G28" s="18" t="n">
        <v>603.87</v>
      </c>
      <c r="H28" s="18" t="n">
        <v>84.38</v>
      </c>
      <c r="I28" s="18" t="n">
        <v>304.67</v>
      </c>
      <c r="J28" s="18" t="n">
        <v>0</v>
      </c>
      <c r="K28" s="18" t="n">
        <v>566.04</v>
      </c>
      <c r="L28" s="18" t="n">
        <v>0</v>
      </c>
      <c r="M28" s="19" t="n">
        <f aca="false">SUM(H28:L28)</f>
        <v>955.09</v>
      </c>
      <c r="N28" s="19" t="n">
        <f aca="false">G28-M28</f>
        <v>-351.22</v>
      </c>
      <c r="O28" s="20" t="n">
        <f aca="false">IFERROR(G28/F28,0)</f>
        <v>0.305138959070237</v>
      </c>
      <c r="P28" s="21"/>
    </row>
    <row r="29" customFormat="false" ht="15" hidden="false" customHeight="false" outlineLevel="0" collapsed="false">
      <c r="A29" s="22" t="n">
        <v>46197</v>
      </c>
      <c r="B29" s="23" t="n">
        <v>778</v>
      </c>
      <c r="C29" s="23" t="n">
        <v>1713</v>
      </c>
      <c r="D29" s="23" t="n">
        <v>0</v>
      </c>
      <c r="E29" s="23" t="n">
        <v>0</v>
      </c>
      <c r="F29" s="24" t="n">
        <f aca="false">B29+C29+D29+E29</f>
        <v>2491</v>
      </c>
      <c r="G29" s="23" t="n">
        <v>788.52</v>
      </c>
      <c r="H29" s="23" t="n">
        <v>84.38</v>
      </c>
      <c r="I29" s="23" t="n">
        <v>304.67</v>
      </c>
      <c r="J29" s="23" t="n">
        <v>0</v>
      </c>
      <c r="K29" s="23" t="n">
        <v>566.04</v>
      </c>
      <c r="L29" s="23" t="n">
        <v>0</v>
      </c>
      <c r="M29" s="24" t="n">
        <f aca="false">SUM(H29:L29)</f>
        <v>955.09</v>
      </c>
      <c r="N29" s="24" t="n">
        <f aca="false">G29-M29</f>
        <v>-166.57</v>
      </c>
      <c r="O29" s="25" t="n">
        <f aca="false">IFERROR(G29/F29,0)</f>
        <v>0.316547571256524</v>
      </c>
      <c r="P29" s="26"/>
    </row>
    <row r="30" customFormat="false" ht="15" hidden="false" customHeight="false" outlineLevel="0" collapsed="false">
      <c r="A30" s="17" t="n">
        <v>46198</v>
      </c>
      <c r="B30" s="18" t="n">
        <v>572</v>
      </c>
      <c r="C30" s="18" t="n">
        <v>1122</v>
      </c>
      <c r="D30" s="18" t="n">
        <v>0</v>
      </c>
      <c r="E30" s="18" t="n">
        <v>0</v>
      </c>
      <c r="F30" s="19" t="n">
        <f aca="false">B30+C30+D30+E30</f>
        <v>1694</v>
      </c>
      <c r="G30" s="18" t="n">
        <v>602.46</v>
      </c>
      <c r="H30" s="18" t="n">
        <v>84.38</v>
      </c>
      <c r="I30" s="18" t="n">
        <v>304.67</v>
      </c>
      <c r="J30" s="18" t="n">
        <v>0</v>
      </c>
      <c r="K30" s="18" t="n">
        <v>566.04</v>
      </c>
      <c r="L30" s="18" t="n">
        <v>0</v>
      </c>
      <c r="M30" s="19" t="n">
        <f aca="false">SUM(H30:L30)</f>
        <v>955.09</v>
      </c>
      <c r="N30" s="19" t="n">
        <f aca="false">G30-M30</f>
        <v>-352.63</v>
      </c>
      <c r="O30" s="20" t="n">
        <f aca="false">IFERROR(G30/F30,0)</f>
        <v>0.355643447461629</v>
      </c>
      <c r="P30" s="21"/>
    </row>
    <row r="31" customFormat="false" ht="15" hidden="false" customHeight="false" outlineLevel="0" collapsed="false">
      <c r="A31" s="22" t="n">
        <v>46199</v>
      </c>
      <c r="B31" s="23" t="n">
        <v>1134</v>
      </c>
      <c r="C31" s="23" t="n">
        <v>2560</v>
      </c>
      <c r="D31" s="23" t="n">
        <v>0</v>
      </c>
      <c r="E31" s="23" t="n">
        <v>0</v>
      </c>
      <c r="F31" s="24" t="n">
        <f aca="false">B31+C31+D31+E31</f>
        <v>3694</v>
      </c>
      <c r="G31" s="23" t="n">
        <v>1109.94</v>
      </c>
      <c r="H31" s="23" t="n">
        <v>84.38</v>
      </c>
      <c r="I31" s="23" t="n">
        <v>304.67</v>
      </c>
      <c r="J31" s="23" t="n">
        <v>0</v>
      </c>
      <c r="K31" s="23" t="n">
        <v>566.04</v>
      </c>
      <c r="L31" s="23" t="n">
        <v>0</v>
      </c>
      <c r="M31" s="24" t="n">
        <f aca="false">SUM(H31:L31)</f>
        <v>955.09</v>
      </c>
      <c r="N31" s="24" t="n">
        <f aca="false">G31-M31</f>
        <v>154.85</v>
      </c>
      <c r="O31" s="25" t="n">
        <f aca="false">IFERROR(G31/F31,0)</f>
        <v>0.300471034109367</v>
      </c>
      <c r="P31" s="26"/>
    </row>
    <row r="32" customFormat="false" ht="15" hidden="false" customHeight="false" outlineLevel="0" collapsed="false">
      <c r="A32" s="17" t="n">
        <v>46200</v>
      </c>
      <c r="B32" s="18" t="n">
        <v>1173</v>
      </c>
      <c r="C32" s="18" t="n">
        <v>1931</v>
      </c>
      <c r="D32" s="18" t="n">
        <v>0</v>
      </c>
      <c r="E32" s="18" t="n">
        <v>0</v>
      </c>
      <c r="F32" s="19" t="n">
        <f aca="false">B32+C32+D32+E32</f>
        <v>3104</v>
      </c>
      <c r="G32" s="18" t="n">
        <v>1167.96</v>
      </c>
      <c r="H32" s="18" t="n">
        <v>84.38</v>
      </c>
      <c r="I32" s="18" t="n">
        <v>304.67</v>
      </c>
      <c r="J32" s="18" t="n">
        <v>0</v>
      </c>
      <c r="K32" s="18" t="n">
        <v>566.04</v>
      </c>
      <c r="L32" s="18" t="n">
        <v>0</v>
      </c>
      <c r="M32" s="19" t="n">
        <f aca="false">SUM(H32:L32)</f>
        <v>955.09</v>
      </c>
      <c r="N32" s="19" t="n">
        <f aca="false">G32-M32</f>
        <v>212.87</v>
      </c>
      <c r="O32" s="20" t="n">
        <f aca="false">IFERROR(G32/F32,0)</f>
        <v>0.376275773195876</v>
      </c>
      <c r="P32" s="21"/>
    </row>
    <row r="33" customFormat="false" ht="15" hidden="false" customHeight="false" outlineLevel="0" collapsed="false">
      <c r="A33" s="22" t="n">
        <v>46201</v>
      </c>
      <c r="B33" s="23" t="n">
        <v>706</v>
      </c>
      <c r="C33" s="23" t="n">
        <v>1422</v>
      </c>
      <c r="D33" s="23" t="n">
        <v>0</v>
      </c>
      <c r="E33" s="23" t="n">
        <v>0</v>
      </c>
      <c r="F33" s="24" t="n">
        <f aca="false">B33+C33+D33+E33</f>
        <v>2128</v>
      </c>
      <c r="G33" s="23" t="n">
        <v>741.1</v>
      </c>
      <c r="H33" s="23" t="n">
        <v>84.38</v>
      </c>
      <c r="I33" s="23" t="n">
        <v>304.67</v>
      </c>
      <c r="J33" s="23" t="n">
        <v>0</v>
      </c>
      <c r="K33" s="23" t="n">
        <v>566.04</v>
      </c>
      <c r="L33" s="23" t="n">
        <v>0</v>
      </c>
      <c r="M33" s="24" t="n">
        <f aca="false">SUM(H33:L33)</f>
        <v>955.09</v>
      </c>
      <c r="N33" s="24" t="n">
        <f aca="false">G33-M33</f>
        <v>-213.99</v>
      </c>
      <c r="O33" s="25" t="n">
        <f aca="false">IFERROR(G33/F33,0)</f>
        <v>0.348261278195489</v>
      </c>
      <c r="P33" s="26"/>
    </row>
    <row r="34" customFormat="false" ht="15" hidden="false" customHeight="false" outlineLevel="0" collapsed="false">
      <c r="A34" s="17" t="n">
        <v>46202</v>
      </c>
      <c r="B34" s="18" t="n">
        <v>798</v>
      </c>
      <c r="C34" s="18" t="n">
        <v>1731</v>
      </c>
      <c r="D34" s="18" t="n">
        <v>0</v>
      </c>
      <c r="E34" s="18" t="n">
        <v>0</v>
      </c>
      <c r="F34" s="19" t="n">
        <f aca="false">B34+C34+D34+E34</f>
        <v>2529</v>
      </c>
      <c r="G34" s="18" t="n">
        <v>764.57</v>
      </c>
      <c r="H34" s="18" t="n">
        <v>84.38</v>
      </c>
      <c r="I34" s="18" t="n">
        <v>304.67</v>
      </c>
      <c r="J34" s="18" t="n">
        <v>0</v>
      </c>
      <c r="K34" s="18" t="n">
        <v>566.04</v>
      </c>
      <c r="L34" s="18" t="n">
        <v>0</v>
      </c>
      <c r="M34" s="19" t="n">
        <f aca="false">SUM(H34:L34)</f>
        <v>955.09</v>
      </c>
      <c r="N34" s="19" t="n">
        <f aca="false">G34-M34</f>
        <v>-190.52</v>
      </c>
      <c r="O34" s="20" t="n">
        <f aca="false">IFERROR(G34/F34,0)</f>
        <v>0.302321075523923</v>
      </c>
      <c r="P34" s="21"/>
    </row>
    <row r="35" customFormat="false" ht="15" hidden="false" customHeight="false" outlineLevel="0" collapsed="false">
      <c r="A35" s="22" t="n">
        <v>46203</v>
      </c>
      <c r="B35" s="23" t="n">
        <v>760</v>
      </c>
      <c r="C35" s="23" t="n">
        <v>1688</v>
      </c>
      <c r="D35" s="23" t="n">
        <v>0</v>
      </c>
      <c r="E35" s="23" t="n">
        <v>0</v>
      </c>
      <c r="F35" s="24" t="n">
        <f aca="false">B35+C35+D35+E35</f>
        <v>2448</v>
      </c>
      <c r="G35" s="23" t="n">
        <v>766.72</v>
      </c>
      <c r="H35" s="23" t="n">
        <v>84.38</v>
      </c>
      <c r="I35" s="23" t="n">
        <v>304.67</v>
      </c>
      <c r="J35" s="23" t="n">
        <v>0</v>
      </c>
      <c r="K35" s="23" t="n">
        <v>566.04</v>
      </c>
      <c r="L35" s="23" t="n">
        <v>0</v>
      </c>
      <c r="M35" s="24" t="n">
        <f aca="false">SUM(H35:L35)</f>
        <v>955.09</v>
      </c>
      <c r="N35" s="24" t="n">
        <f aca="false">G35-M35</f>
        <v>-188.37</v>
      </c>
      <c r="O35" s="25" t="n">
        <f aca="false">IFERROR(G35/F35,0)</f>
        <v>0.313202614379085</v>
      </c>
      <c r="P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8" customFormat="false" ht="15" hidden="false" customHeight="false" outlineLevel="0" collapsed="false">
      <c r="A38" s="27" t="s">
        <v>51</v>
      </c>
      <c r="B38" s="28" t="n">
        <f aca="false">SUM(B6:B36)</f>
        <v>22875</v>
      </c>
      <c r="C38" s="28" t="n">
        <f aca="false">SUM(C6:C36)</f>
        <v>48125</v>
      </c>
      <c r="D38" s="28" t="n">
        <f aca="false">SUM(D6:D36)</f>
        <v>-1871</v>
      </c>
      <c r="E38" s="28" t="n">
        <f aca="false">SUM(E6:E36)</f>
        <v>2274</v>
      </c>
      <c r="F38" s="28" t="n">
        <f aca="false">SUM(F6:F36)</f>
        <v>71403</v>
      </c>
      <c r="G38" s="28" t="n">
        <f aca="false">SUM(G6:G36)</f>
        <v>24066.21</v>
      </c>
      <c r="H38" s="28" t="n">
        <f aca="false">SUM(H6:H36)</f>
        <v>2531.4</v>
      </c>
      <c r="I38" s="28" t="n">
        <f aca="false">SUM(I6:I36)</f>
        <v>9140.1</v>
      </c>
      <c r="J38" s="28" t="n">
        <f aca="false">SUM(J6:J36)</f>
        <v>35</v>
      </c>
      <c r="K38" s="28" t="n">
        <f aca="false">SUM(K6:K36)</f>
        <v>16415.16</v>
      </c>
      <c r="L38" s="28" t="n">
        <f aca="false">SUM(L6:L36)</f>
        <v>0</v>
      </c>
      <c r="M38" s="28" t="n">
        <f aca="false">SUM(M6:M36)</f>
        <v>28121.66</v>
      </c>
      <c r="N38" s="28" t="n">
        <f aca="false">SUM(N6:N36)</f>
        <v>-4055.45</v>
      </c>
      <c r="O38" s="29" t="n">
        <f aca="false">IFERROR(G38/F38,0)</f>
        <v>0.337047603041889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46204</v>
      </c>
      <c r="B6" s="18" t="n">
        <v>1308</v>
      </c>
      <c r="C6" s="18" t="n">
        <v>2080</v>
      </c>
      <c r="D6" s="18" t="n">
        <v>0</v>
      </c>
      <c r="E6" s="18" t="n">
        <v>0</v>
      </c>
      <c r="F6" s="19" t="n">
        <f aca="false">B6+C6+D6+E6</f>
        <v>3388</v>
      </c>
      <c r="G6" s="18" t="n">
        <v>1118.12</v>
      </c>
      <c r="H6" s="18" t="n">
        <v>88.49</v>
      </c>
      <c r="I6" s="18" t="n">
        <v>327.66</v>
      </c>
      <c r="J6" s="18" t="n">
        <v>0</v>
      </c>
      <c r="K6" s="18" t="n">
        <v>615.16</v>
      </c>
      <c r="L6" s="18" t="n">
        <v>0</v>
      </c>
      <c r="M6" s="19" t="n">
        <f aca="false">SUM(H6:L6)</f>
        <v>1031.31</v>
      </c>
      <c r="N6" s="19" t="n">
        <f aca="false">G6-M6</f>
        <v>86.81</v>
      </c>
      <c r="O6" s="20" t="n">
        <f aca="false">IFERROR(G6/F6,0)</f>
        <v>0.330023612750885</v>
      </c>
      <c r="P6" s="21"/>
    </row>
    <row r="7" customFormat="false" ht="15" hidden="false" customHeight="false" outlineLevel="0" collapsed="false">
      <c r="A7" s="22" t="n">
        <v>46205</v>
      </c>
      <c r="B7" s="23" t="n">
        <v>1079</v>
      </c>
      <c r="C7" s="23" t="n">
        <v>2106</v>
      </c>
      <c r="D7" s="23" t="n">
        <v>0</v>
      </c>
      <c r="E7" s="23" t="n">
        <v>0</v>
      </c>
      <c r="F7" s="24" t="n">
        <f aca="false">B7+C7+D7+E7</f>
        <v>3185</v>
      </c>
      <c r="G7" s="23" t="n">
        <v>1167.13</v>
      </c>
      <c r="H7" s="23" t="n">
        <v>88.49</v>
      </c>
      <c r="I7" s="23" t="n">
        <v>327.66</v>
      </c>
      <c r="J7" s="23" t="n">
        <v>0</v>
      </c>
      <c r="K7" s="23" t="n">
        <v>615.16</v>
      </c>
      <c r="L7" s="23" t="n">
        <v>0</v>
      </c>
      <c r="M7" s="24" t="n">
        <f aca="false">SUM(H7:L7)</f>
        <v>1031.31</v>
      </c>
      <c r="N7" s="24" t="n">
        <f aca="false">G7-M7</f>
        <v>135.82</v>
      </c>
      <c r="O7" s="25" t="n">
        <f aca="false">IFERROR(G7/F7,0)</f>
        <v>0.366445839874411</v>
      </c>
      <c r="P7" s="26"/>
    </row>
    <row r="8" customFormat="false" ht="15" hidden="false" customHeight="false" outlineLevel="0" collapsed="false">
      <c r="A8" s="17" t="n">
        <v>46206</v>
      </c>
      <c r="B8" s="18" t="n">
        <v>1644</v>
      </c>
      <c r="C8" s="18" t="n">
        <v>3924</v>
      </c>
      <c r="D8" s="18" t="n">
        <v>0</v>
      </c>
      <c r="E8" s="18" t="n">
        <v>0</v>
      </c>
      <c r="F8" s="19" t="n">
        <f aca="false">B8+C8+D8+E8</f>
        <v>5568</v>
      </c>
      <c r="G8" s="18" t="n">
        <v>1975.2</v>
      </c>
      <c r="H8" s="18" t="n">
        <v>88.49</v>
      </c>
      <c r="I8" s="18" t="n">
        <v>327.66</v>
      </c>
      <c r="J8" s="18" t="n">
        <v>0</v>
      </c>
      <c r="K8" s="18" t="n">
        <v>615.16</v>
      </c>
      <c r="L8" s="18" t="n">
        <v>0</v>
      </c>
      <c r="M8" s="19" t="n">
        <f aca="false">SUM(H8:L8)</f>
        <v>1031.31</v>
      </c>
      <c r="N8" s="19" t="n">
        <f aca="false">G8-M8</f>
        <v>943.89</v>
      </c>
      <c r="O8" s="20" t="n">
        <f aca="false">IFERROR(G8/F8,0)</f>
        <v>0.354741379310345</v>
      </c>
      <c r="P8" s="21"/>
    </row>
    <row r="9" customFormat="false" ht="15" hidden="false" customHeight="false" outlineLevel="0" collapsed="false">
      <c r="A9" s="22" t="n">
        <v>46207</v>
      </c>
      <c r="B9" s="23" t="n">
        <v>1393</v>
      </c>
      <c r="C9" s="23" t="n">
        <v>2768</v>
      </c>
      <c r="D9" s="23" t="n">
        <v>0</v>
      </c>
      <c r="E9" s="23" t="n">
        <v>259</v>
      </c>
      <c r="F9" s="24" t="n">
        <f aca="false">B9+C9+D9+E9</f>
        <v>4420</v>
      </c>
      <c r="G9" s="23" t="n">
        <v>1514.38</v>
      </c>
      <c r="H9" s="23" t="n">
        <v>88.49</v>
      </c>
      <c r="I9" s="23" t="n">
        <v>327.66</v>
      </c>
      <c r="J9" s="23" t="n">
        <v>0</v>
      </c>
      <c r="K9" s="23" t="n">
        <v>615.16</v>
      </c>
      <c r="L9" s="23" t="n">
        <v>65</v>
      </c>
      <c r="M9" s="24" t="n">
        <f aca="false">SUM(H9:L9)</f>
        <v>1096.31</v>
      </c>
      <c r="N9" s="24" t="n">
        <f aca="false">G9-M9</f>
        <v>418.07</v>
      </c>
      <c r="O9" s="25" t="n">
        <f aca="false">IFERROR(G9/F9,0)</f>
        <v>0.342619909502262</v>
      </c>
      <c r="P9" s="26"/>
    </row>
    <row r="10" customFormat="false" ht="15" hidden="false" customHeight="false" outlineLevel="0" collapsed="false">
      <c r="A10" s="17" t="n">
        <v>46208</v>
      </c>
      <c r="B10" s="18" t="n">
        <v>910</v>
      </c>
      <c r="C10" s="18" t="n">
        <v>2701</v>
      </c>
      <c r="D10" s="18" t="n">
        <v>0</v>
      </c>
      <c r="E10" s="18" t="n">
        <v>0</v>
      </c>
      <c r="F10" s="19" t="n">
        <f aca="false">B10+C10+D10+E10</f>
        <v>3611</v>
      </c>
      <c r="G10" s="18" t="n">
        <v>1204.65</v>
      </c>
      <c r="H10" s="18" t="n">
        <v>88.49</v>
      </c>
      <c r="I10" s="18" t="n">
        <v>327.66</v>
      </c>
      <c r="J10" s="18" t="n">
        <v>0</v>
      </c>
      <c r="K10" s="18" t="n">
        <v>615.16</v>
      </c>
      <c r="L10" s="18" t="n">
        <v>0</v>
      </c>
      <c r="M10" s="19" t="n">
        <f aca="false">SUM(H10:L10)</f>
        <v>1031.31</v>
      </c>
      <c r="N10" s="19" t="n">
        <f aca="false">G10-M10</f>
        <v>173.34</v>
      </c>
      <c r="O10" s="20" t="n">
        <f aca="false">IFERROR(G10/F10,0)</f>
        <v>0.333605649404597</v>
      </c>
      <c r="P10" s="21"/>
    </row>
    <row r="11" customFormat="false" ht="15" hidden="false" customHeight="false" outlineLevel="0" collapsed="false">
      <c r="A11" s="22" t="n">
        <v>46209</v>
      </c>
      <c r="B11" s="23" t="n">
        <v>1014</v>
      </c>
      <c r="C11" s="23" t="n">
        <v>2317</v>
      </c>
      <c r="D11" s="23" t="n">
        <v>0</v>
      </c>
      <c r="E11" s="23" t="n">
        <v>0</v>
      </c>
      <c r="F11" s="24" t="n">
        <f aca="false">B11+C11+D11+E11</f>
        <v>3331</v>
      </c>
      <c r="G11" s="23" t="n">
        <v>1236.89</v>
      </c>
      <c r="H11" s="23" t="n">
        <v>88.49</v>
      </c>
      <c r="I11" s="23" t="n">
        <v>327.66</v>
      </c>
      <c r="J11" s="23" t="n">
        <v>0</v>
      </c>
      <c r="K11" s="23" t="n">
        <v>615.16</v>
      </c>
      <c r="L11" s="23" t="n">
        <v>0</v>
      </c>
      <c r="M11" s="24" t="n">
        <f aca="false">SUM(H11:L11)</f>
        <v>1031.31</v>
      </c>
      <c r="N11" s="24" t="n">
        <f aca="false">G11-M11</f>
        <v>205.58</v>
      </c>
      <c r="O11" s="25" t="n">
        <f aca="false">IFERROR(G11/F11,0)</f>
        <v>0.371326928850195</v>
      </c>
      <c r="P11" s="26"/>
    </row>
    <row r="12" customFormat="false" ht="15" hidden="false" customHeight="false" outlineLevel="0" collapsed="false">
      <c r="A12" s="17" t="n">
        <v>46210</v>
      </c>
      <c r="B12" s="18" t="n">
        <v>0</v>
      </c>
      <c r="C12" s="18" t="n">
        <v>0</v>
      </c>
      <c r="D12" s="18" t="n">
        <v>0</v>
      </c>
      <c r="E12" s="18" t="n">
        <v>0</v>
      </c>
      <c r="F12" s="19" t="n">
        <f aca="false">B12+C12+D12+E12</f>
        <v>0</v>
      </c>
      <c r="G12" s="18" t="n">
        <v>0</v>
      </c>
      <c r="H12" s="18" t="n">
        <v>88.49</v>
      </c>
      <c r="I12" s="18" t="n">
        <v>327.66</v>
      </c>
      <c r="J12" s="18" t="n">
        <v>0</v>
      </c>
      <c r="K12" s="18" t="n">
        <v>0</v>
      </c>
      <c r="L12" s="18" t="n">
        <v>0</v>
      </c>
      <c r="M12" s="19" t="n">
        <f aca="false">SUM(H12:L12)</f>
        <v>416.15</v>
      </c>
      <c r="N12" s="19" t="n">
        <f aca="false">G12-M12</f>
        <v>-416.15</v>
      </c>
      <c r="O12" s="20" t="n">
        <f aca="false">IFERROR(G12/F12,0)</f>
        <v>0</v>
      </c>
      <c r="P12" s="21" t="s">
        <v>50</v>
      </c>
    </row>
    <row r="13" customFormat="false" ht="15" hidden="false" customHeight="false" outlineLevel="0" collapsed="false">
      <c r="A13" s="22" t="n">
        <v>46211</v>
      </c>
      <c r="B13" s="23" t="n">
        <v>1169</v>
      </c>
      <c r="C13" s="23" t="n">
        <v>2246</v>
      </c>
      <c r="D13" s="23" t="n">
        <v>0</v>
      </c>
      <c r="E13" s="23" t="n">
        <v>0</v>
      </c>
      <c r="F13" s="24" t="n">
        <f aca="false">B13+C13+D13+E13</f>
        <v>3415</v>
      </c>
      <c r="G13" s="23" t="n">
        <v>1275.74</v>
      </c>
      <c r="H13" s="23" t="n">
        <v>88.49</v>
      </c>
      <c r="I13" s="23" t="n">
        <v>327.66</v>
      </c>
      <c r="J13" s="23" t="n">
        <v>0</v>
      </c>
      <c r="K13" s="23" t="n">
        <v>615.16</v>
      </c>
      <c r="L13" s="23" t="n">
        <v>0</v>
      </c>
      <c r="M13" s="24" t="n">
        <f aca="false">SUM(H13:L13)</f>
        <v>1031.31</v>
      </c>
      <c r="N13" s="24" t="n">
        <f aca="false">G13-M13</f>
        <v>244.43</v>
      </c>
      <c r="O13" s="25" t="n">
        <f aca="false">IFERROR(G13/F13,0)</f>
        <v>0.373569546120059</v>
      </c>
      <c r="P13" s="26"/>
    </row>
    <row r="14" customFormat="false" ht="15" hidden="false" customHeight="false" outlineLevel="0" collapsed="false">
      <c r="A14" s="17" t="n">
        <v>46212</v>
      </c>
      <c r="B14" s="18" t="n">
        <v>1457</v>
      </c>
      <c r="C14" s="18" t="n">
        <v>2441</v>
      </c>
      <c r="D14" s="18" t="n">
        <v>0</v>
      </c>
      <c r="E14" s="18" t="n">
        <v>0</v>
      </c>
      <c r="F14" s="19" t="n">
        <f aca="false">B14+C14+D14+E14</f>
        <v>3898</v>
      </c>
      <c r="G14" s="18" t="n">
        <v>1354.16</v>
      </c>
      <c r="H14" s="18" t="n">
        <v>88.49</v>
      </c>
      <c r="I14" s="18" t="n">
        <v>327.66</v>
      </c>
      <c r="J14" s="18" t="n">
        <v>0</v>
      </c>
      <c r="K14" s="18" t="n">
        <v>615.16</v>
      </c>
      <c r="L14" s="18" t="n">
        <v>0</v>
      </c>
      <c r="M14" s="19" t="n">
        <f aca="false">SUM(H14:L14)</f>
        <v>1031.31</v>
      </c>
      <c r="N14" s="19" t="n">
        <f aca="false">G14-M14</f>
        <v>322.85</v>
      </c>
      <c r="O14" s="20" t="n">
        <f aca="false">IFERROR(G14/F14,0)</f>
        <v>0.347398665982555</v>
      </c>
      <c r="P14" s="21"/>
    </row>
    <row r="15" customFormat="false" ht="15" hidden="false" customHeight="false" outlineLevel="0" collapsed="false">
      <c r="A15" s="22" t="n">
        <v>46213</v>
      </c>
      <c r="B15" s="23" t="n">
        <v>1417</v>
      </c>
      <c r="C15" s="23" t="n">
        <v>2215</v>
      </c>
      <c r="D15" s="23" t="n">
        <v>0</v>
      </c>
      <c r="E15" s="23" t="n">
        <v>0</v>
      </c>
      <c r="F15" s="24" t="n">
        <f aca="false">B15+C15+D15+E15</f>
        <v>3632</v>
      </c>
      <c r="G15" s="23" t="n">
        <v>1170.65</v>
      </c>
      <c r="H15" s="23" t="n">
        <v>88.49</v>
      </c>
      <c r="I15" s="23" t="n">
        <v>327.66</v>
      </c>
      <c r="J15" s="23" t="n">
        <v>0</v>
      </c>
      <c r="K15" s="23" t="n">
        <v>615.16</v>
      </c>
      <c r="L15" s="23" t="n">
        <v>0</v>
      </c>
      <c r="M15" s="24" t="n">
        <f aca="false">SUM(H15:L15)</f>
        <v>1031.31</v>
      </c>
      <c r="N15" s="24" t="n">
        <f aca="false">G15-M15</f>
        <v>139.34</v>
      </c>
      <c r="O15" s="25" t="n">
        <f aca="false">IFERROR(G15/F15,0)</f>
        <v>0.322315528634361</v>
      </c>
      <c r="P15" s="26"/>
    </row>
    <row r="16" customFormat="false" ht="15" hidden="false" customHeight="false" outlineLevel="0" collapsed="false">
      <c r="A16" s="17" t="n">
        <v>46214</v>
      </c>
      <c r="B16" s="18" t="n">
        <v>1925</v>
      </c>
      <c r="C16" s="18" t="n">
        <v>3812</v>
      </c>
      <c r="D16" s="18" t="n">
        <v>-1804</v>
      </c>
      <c r="E16" s="18" t="n">
        <v>0</v>
      </c>
      <c r="F16" s="19" t="n">
        <f aca="false">B16+C16+D16+E16</f>
        <v>3933</v>
      </c>
      <c r="G16" s="18" t="n">
        <v>1285.74</v>
      </c>
      <c r="H16" s="18" t="n">
        <v>88.49</v>
      </c>
      <c r="I16" s="18" t="n">
        <v>327.66</v>
      </c>
      <c r="J16" s="18" t="n">
        <v>0</v>
      </c>
      <c r="K16" s="18" t="n">
        <v>615.16</v>
      </c>
      <c r="L16" s="18" t="n">
        <v>0</v>
      </c>
      <c r="M16" s="19" t="n">
        <f aca="false">SUM(H16:L16)</f>
        <v>1031.31</v>
      </c>
      <c r="N16" s="19" t="n">
        <f aca="false">G16-M16</f>
        <v>254.43</v>
      </c>
      <c r="O16" s="20" t="n">
        <f aca="false">IFERROR(G16/F16,0)</f>
        <v>0.326910755148741</v>
      </c>
      <c r="P16" s="21"/>
    </row>
    <row r="17" customFormat="false" ht="15" hidden="false" customHeight="false" outlineLevel="0" collapsed="false">
      <c r="A17" s="22" t="n">
        <v>46215</v>
      </c>
      <c r="B17" s="23" t="n">
        <v>821</v>
      </c>
      <c r="C17" s="23" t="n">
        <v>1719</v>
      </c>
      <c r="D17" s="23" t="n">
        <v>0</v>
      </c>
      <c r="E17" s="23" t="n">
        <v>0</v>
      </c>
      <c r="F17" s="24" t="n">
        <f aca="false">B17+C17+D17+E17</f>
        <v>2540</v>
      </c>
      <c r="G17" s="23" t="n">
        <v>834.1</v>
      </c>
      <c r="H17" s="23" t="n">
        <v>88.49</v>
      </c>
      <c r="I17" s="23" t="n">
        <v>327.66</v>
      </c>
      <c r="J17" s="23" t="n">
        <v>0</v>
      </c>
      <c r="K17" s="23" t="n">
        <v>615.16</v>
      </c>
      <c r="L17" s="23" t="n">
        <v>0</v>
      </c>
      <c r="M17" s="24" t="n">
        <f aca="false">SUM(H17:L17)</f>
        <v>1031.31</v>
      </c>
      <c r="N17" s="24" t="n">
        <f aca="false">G17-M17</f>
        <v>-197.21</v>
      </c>
      <c r="O17" s="25" t="n">
        <f aca="false">IFERROR(G17/F17,0)</f>
        <v>0.328385826771654</v>
      </c>
      <c r="P17" s="26"/>
    </row>
    <row r="18" customFormat="false" ht="15" hidden="false" customHeight="false" outlineLevel="0" collapsed="false">
      <c r="A18" s="17" t="n">
        <v>46216</v>
      </c>
      <c r="B18" s="18" t="n">
        <v>923</v>
      </c>
      <c r="C18" s="18" t="n">
        <v>1796</v>
      </c>
      <c r="D18" s="18" t="n">
        <v>0</v>
      </c>
      <c r="E18" s="18" t="n">
        <v>0</v>
      </c>
      <c r="F18" s="19" t="n">
        <f aca="false">B18+C18+D18+E18</f>
        <v>2719</v>
      </c>
      <c r="G18" s="18" t="n">
        <v>1007.14</v>
      </c>
      <c r="H18" s="18" t="n">
        <v>88.49</v>
      </c>
      <c r="I18" s="18" t="n">
        <v>327.66</v>
      </c>
      <c r="J18" s="18" t="n">
        <v>0</v>
      </c>
      <c r="K18" s="18" t="n">
        <v>615.16</v>
      </c>
      <c r="L18" s="18" t="n">
        <v>0</v>
      </c>
      <c r="M18" s="19" t="n">
        <f aca="false">SUM(H18:L18)</f>
        <v>1031.31</v>
      </c>
      <c r="N18" s="19" t="n">
        <f aca="false">G18-M18</f>
        <v>-24.17</v>
      </c>
      <c r="O18" s="20" t="n">
        <f aca="false">IFERROR(G18/F18,0)</f>
        <v>0.370408238322913</v>
      </c>
      <c r="P18" s="21"/>
    </row>
    <row r="19" customFormat="false" ht="15" hidden="false" customHeight="false" outlineLevel="0" collapsed="false">
      <c r="A19" s="22" t="n">
        <v>46217</v>
      </c>
      <c r="B19" s="23" t="n">
        <v>1187</v>
      </c>
      <c r="C19" s="23" t="n">
        <v>3072</v>
      </c>
      <c r="D19" s="23" t="n">
        <v>0</v>
      </c>
      <c r="E19" s="23" t="n">
        <v>0</v>
      </c>
      <c r="F19" s="24" t="n">
        <f aca="false">B19+C19+D19+E19</f>
        <v>4259</v>
      </c>
      <c r="G19" s="23" t="n">
        <v>1359.93</v>
      </c>
      <c r="H19" s="23" t="n">
        <v>88.49</v>
      </c>
      <c r="I19" s="23" t="n">
        <v>327.66</v>
      </c>
      <c r="J19" s="23" t="n">
        <v>0</v>
      </c>
      <c r="K19" s="23" t="n">
        <v>615.16</v>
      </c>
      <c r="L19" s="23" t="n">
        <v>0</v>
      </c>
      <c r="M19" s="24" t="n">
        <f aca="false">SUM(H19:L19)</f>
        <v>1031.31</v>
      </c>
      <c r="N19" s="24" t="n">
        <f aca="false">G19-M19</f>
        <v>328.62</v>
      </c>
      <c r="O19" s="25" t="n">
        <f aca="false">IFERROR(G19/F19,0)</f>
        <v>0.319307349142991</v>
      </c>
      <c r="P19" s="26"/>
    </row>
    <row r="20" customFormat="false" ht="15" hidden="false" customHeight="false" outlineLevel="0" collapsed="false">
      <c r="A20" s="17" t="n">
        <v>46218</v>
      </c>
      <c r="B20" s="18" t="n">
        <v>764</v>
      </c>
      <c r="C20" s="18" t="n">
        <v>1906</v>
      </c>
      <c r="D20" s="18" t="n">
        <v>0</v>
      </c>
      <c r="E20" s="18" t="n">
        <v>0</v>
      </c>
      <c r="F20" s="19" t="n">
        <f aca="false">B20+C20+D20+E20</f>
        <v>2670</v>
      </c>
      <c r="G20" s="18" t="n">
        <v>902.69</v>
      </c>
      <c r="H20" s="18" t="n">
        <v>88.49</v>
      </c>
      <c r="I20" s="18" t="n">
        <v>327.66</v>
      </c>
      <c r="J20" s="18" t="n">
        <v>0</v>
      </c>
      <c r="K20" s="18" t="n">
        <v>615.16</v>
      </c>
      <c r="L20" s="18" t="n">
        <v>0</v>
      </c>
      <c r="M20" s="19" t="n">
        <f aca="false">SUM(H20:L20)</f>
        <v>1031.31</v>
      </c>
      <c r="N20" s="19" t="n">
        <f aca="false">G20-M20</f>
        <v>-128.62</v>
      </c>
      <c r="O20" s="20" t="n">
        <f aca="false">IFERROR(G20/F20,0)</f>
        <v>0.338086142322097</v>
      </c>
      <c r="P20" s="21"/>
    </row>
    <row r="21" customFormat="false" ht="15" hidden="false" customHeight="false" outlineLevel="0" collapsed="false">
      <c r="A21" s="22" t="n">
        <v>46219</v>
      </c>
      <c r="B21" s="23" t="n">
        <v>670</v>
      </c>
      <c r="C21" s="23" t="n">
        <v>1984</v>
      </c>
      <c r="D21" s="23" t="n">
        <v>0</v>
      </c>
      <c r="E21" s="23" t="n">
        <v>0</v>
      </c>
      <c r="F21" s="24" t="n">
        <f aca="false">B21+C21+D21+E21</f>
        <v>2654</v>
      </c>
      <c r="G21" s="23" t="n">
        <v>858.67</v>
      </c>
      <c r="H21" s="23" t="n">
        <v>88.49</v>
      </c>
      <c r="I21" s="23" t="n">
        <v>327.66</v>
      </c>
      <c r="J21" s="23" t="n">
        <v>0</v>
      </c>
      <c r="K21" s="23" t="n">
        <v>615.16</v>
      </c>
      <c r="L21" s="23" t="n">
        <v>0</v>
      </c>
      <c r="M21" s="24" t="n">
        <f aca="false">SUM(H21:L21)</f>
        <v>1031.31</v>
      </c>
      <c r="N21" s="24" t="n">
        <f aca="false">G21-M21</f>
        <v>-172.64</v>
      </c>
      <c r="O21" s="25" t="n">
        <f aca="false">IFERROR(G21/F21,0)</f>
        <v>0.323538055764883</v>
      </c>
      <c r="P21" s="26"/>
    </row>
    <row r="22" customFormat="false" ht="15" hidden="false" customHeight="false" outlineLevel="0" collapsed="false">
      <c r="A22" s="17" t="n">
        <v>46220</v>
      </c>
      <c r="B22" s="18" t="n">
        <v>1429</v>
      </c>
      <c r="C22" s="18" t="n">
        <v>2660</v>
      </c>
      <c r="D22" s="18" t="n">
        <v>0</v>
      </c>
      <c r="E22" s="18" t="n">
        <v>0</v>
      </c>
      <c r="F22" s="19" t="n">
        <f aca="false">B22+C22+D22+E22</f>
        <v>4089</v>
      </c>
      <c r="G22" s="18" t="n">
        <v>1347.41</v>
      </c>
      <c r="H22" s="18" t="n">
        <v>88.49</v>
      </c>
      <c r="I22" s="18" t="n">
        <v>327.66</v>
      </c>
      <c r="J22" s="18" t="n">
        <v>0</v>
      </c>
      <c r="K22" s="18" t="n">
        <v>615.16</v>
      </c>
      <c r="L22" s="18" t="n">
        <v>0</v>
      </c>
      <c r="M22" s="19" t="n">
        <f aca="false">SUM(H22:L22)</f>
        <v>1031.31</v>
      </c>
      <c r="N22" s="19" t="n">
        <f aca="false">G22-M22</f>
        <v>316.1</v>
      </c>
      <c r="O22" s="20" t="n">
        <f aca="false">IFERROR(G22/F22,0)</f>
        <v>0.329520665199315</v>
      </c>
      <c r="P22" s="21"/>
    </row>
    <row r="23" customFormat="false" ht="15" hidden="false" customHeight="false" outlineLevel="0" collapsed="false">
      <c r="A23" s="22" t="n">
        <v>46221</v>
      </c>
      <c r="B23" s="23" t="n">
        <v>2187</v>
      </c>
      <c r="C23" s="23" t="n">
        <v>3287</v>
      </c>
      <c r="D23" s="23" t="n">
        <v>0</v>
      </c>
      <c r="E23" s="23" t="n">
        <v>0</v>
      </c>
      <c r="F23" s="24" t="n">
        <f aca="false">B23+C23+D23+E23</f>
        <v>5474</v>
      </c>
      <c r="G23" s="23" t="n">
        <v>1883.23</v>
      </c>
      <c r="H23" s="23" t="n">
        <v>88.49</v>
      </c>
      <c r="I23" s="23" t="n">
        <v>327.66</v>
      </c>
      <c r="J23" s="23" t="n">
        <v>0</v>
      </c>
      <c r="K23" s="23" t="n">
        <v>615.16</v>
      </c>
      <c r="L23" s="23" t="n">
        <v>0</v>
      </c>
      <c r="M23" s="24" t="n">
        <f aca="false">SUM(H23:L23)</f>
        <v>1031.31</v>
      </c>
      <c r="N23" s="24" t="n">
        <f aca="false">G23-M23</f>
        <v>851.92</v>
      </c>
      <c r="O23" s="25" t="n">
        <f aca="false">IFERROR(G23/F23,0)</f>
        <v>0.344031786627695</v>
      </c>
      <c r="P23" s="26"/>
    </row>
    <row r="24" customFormat="false" ht="15" hidden="false" customHeight="false" outlineLevel="0" collapsed="false">
      <c r="A24" s="17" t="n">
        <v>46222</v>
      </c>
      <c r="B24" s="18" t="n">
        <v>925</v>
      </c>
      <c r="C24" s="18" t="n">
        <v>2200</v>
      </c>
      <c r="D24" s="18" t="n">
        <v>0</v>
      </c>
      <c r="E24" s="18" t="n">
        <v>0</v>
      </c>
      <c r="F24" s="19" t="n">
        <f aca="false">B24+C24+D24+E24</f>
        <v>3125</v>
      </c>
      <c r="G24" s="18" t="n">
        <v>995.13</v>
      </c>
      <c r="H24" s="18" t="n">
        <v>88.49</v>
      </c>
      <c r="I24" s="18" t="n">
        <v>327.66</v>
      </c>
      <c r="J24" s="18" t="n">
        <v>0</v>
      </c>
      <c r="K24" s="18" t="n">
        <v>615.16</v>
      </c>
      <c r="L24" s="18" t="n">
        <v>0</v>
      </c>
      <c r="M24" s="19" t="n">
        <f aca="false">SUM(H24:L24)</f>
        <v>1031.31</v>
      </c>
      <c r="N24" s="19" t="n">
        <f aca="false">G24-M24</f>
        <v>-36.18</v>
      </c>
      <c r="O24" s="20" t="n">
        <f aca="false">IFERROR(G24/F24,0)</f>
        <v>0.3184416</v>
      </c>
      <c r="P24" s="21"/>
    </row>
    <row r="25" customFormat="false" ht="15" hidden="false" customHeight="false" outlineLevel="0" collapsed="false">
      <c r="A25" s="22" t="n">
        <v>46223</v>
      </c>
      <c r="B25" s="23" t="n">
        <v>1089</v>
      </c>
      <c r="C25" s="23" t="n">
        <v>1924</v>
      </c>
      <c r="D25" s="23" t="n">
        <v>0</v>
      </c>
      <c r="E25" s="23" t="n">
        <v>0</v>
      </c>
      <c r="F25" s="24" t="n">
        <f aca="false">B25+C25+D25+E25</f>
        <v>3013</v>
      </c>
      <c r="G25" s="23" t="n">
        <v>1133.1</v>
      </c>
      <c r="H25" s="23" t="n">
        <v>88.49</v>
      </c>
      <c r="I25" s="23" t="n">
        <v>327.66</v>
      </c>
      <c r="J25" s="23" t="n">
        <v>0</v>
      </c>
      <c r="K25" s="23" t="n">
        <v>615.16</v>
      </c>
      <c r="L25" s="23" t="n">
        <v>0</v>
      </c>
      <c r="M25" s="24" t="n">
        <f aca="false">SUM(H25:L25)</f>
        <v>1031.31</v>
      </c>
      <c r="N25" s="24" t="n">
        <f aca="false">G25-M25</f>
        <v>101.79</v>
      </c>
      <c r="O25" s="25" t="n">
        <f aca="false">IFERROR(G25/F25,0)</f>
        <v>0.376070361765682</v>
      </c>
      <c r="P25" s="26"/>
    </row>
    <row r="26" customFormat="false" ht="15" hidden="false" customHeight="false" outlineLevel="0" collapsed="false">
      <c r="A26" s="17" t="n">
        <v>46224</v>
      </c>
      <c r="B26" s="18" t="n">
        <v>1234</v>
      </c>
      <c r="C26" s="18" t="n">
        <v>2187</v>
      </c>
      <c r="D26" s="18" t="n">
        <v>0</v>
      </c>
      <c r="E26" s="18" t="n">
        <v>0</v>
      </c>
      <c r="F26" s="19" t="n">
        <f aca="false">B26+C26+D26+E26</f>
        <v>3421</v>
      </c>
      <c r="G26" s="18" t="n">
        <v>1101.97</v>
      </c>
      <c r="H26" s="18" t="n">
        <v>88.49</v>
      </c>
      <c r="I26" s="18" t="n">
        <v>327.66</v>
      </c>
      <c r="J26" s="18" t="n">
        <v>0</v>
      </c>
      <c r="K26" s="18" t="n">
        <v>615.16</v>
      </c>
      <c r="L26" s="18" t="n">
        <v>0</v>
      </c>
      <c r="M26" s="19" t="n">
        <f aca="false">SUM(H26:L26)</f>
        <v>1031.31</v>
      </c>
      <c r="N26" s="19" t="n">
        <f aca="false">G26-M26</f>
        <v>70.6600000000001</v>
      </c>
      <c r="O26" s="20" t="n">
        <f aca="false">IFERROR(G26/F26,0)</f>
        <v>0.322119263373283</v>
      </c>
      <c r="P26" s="21"/>
    </row>
    <row r="27" customFormat="false" ht="15" hidden="false" customHeight="false" outlineLevel="0" collapsed="false">
      <c r="A27" s="22" t="n">
        <v>46225</v>
      </c>
      <c r="B27" s="23" t="n">
        <v>950</v>
      </c>
      <c r="C27" s="23" t="n">
        <v>1848</v>
      </c>
      <c r="D27" s="23" t="n">
        <v>0</v>
      </c>
      <c r="E27" s="23" t="n">
        <v>0</v>
      </c>
      <c r="F27" s="24" t="n">
        <f aca="false">B27+C27+D27+E27</f>
        <v>2798</v>
      </c>
      <c r="G27" s="23" t="n">
        <v>1058.88</v>
      </c>
      <c r="H27" s="23" t="n">
        <v>88.49</v>
      </c>
      <c r="I27" s="23" t="n">
        <v>327.66</v>
      </c>
      <c r="J27" s="23" t="n">
        <v>0</v>
      </c>
      <c r="K27" s="23" t="n">
        <v>615.16</v>
      </c>
      <c r="L27" s="23" t="n">
        <v>0</v>
      </c>
      <c r="M27" s="24" t="n">
        <f aca="false">SUM(H27:L27)</f>
        <v>1031.31</v>
      </c>
      <c r="N27" s="24" t="n">
        <f aca="false">G27-M27</f>
        <v>27.5700000000002</v>
      </c>
      <c r="O27" s="25" t="n">
        <f aca="false">IFERROR(G27/F27,0)</f>
        <v>0.378441744102931</v>
      </c>
      <c r="P27" s="26"/>
    </row>
    <row r="28" customFormat="false" ht="15" hidden="false" customHeight="false" outlineLevel="0" collapsed="false">
      <c r="A28" s="17" t="n">
        <v>46226</v>
      </c>
      <c r="B28" s="18" t="n">
        <v>1290</v>
      </c>
      <c r="C28" s="18" t="n">
        <v>2953</v>
      </c>
      <c r="D28" s="18" t="n">
        <v>0</v>
      </c>
      <c r="E28" s="18" t="n">
        <v>0</v>
      </c>
      <c r="F28" s="19" t="n">
        <f aca="false">B28+C28+D28+E28</f>
        <v>4243</v>
      </c>
      <c r="G28" s="18" t="n">
        <v>1375.5</v>
      </c>
      <c r="H28" s="18" t="n">
        <v>88.49</v>
      </c>
      <c r="I28" s="18" t="n">
        <v>327.66</v>
      </c>
      <c r="J28" s="18" t="n">
        <v>0</v>
      </c>
      <c r="K28" s="18" t="n">
        <v>615.16</v>
      </c>
      <c r="L28" s="18" t="n">
        <v>0</v>
      </c>
      <c r="M28" s="19" t="n">
        <f aca="false">SUM(H28:L28)</f>
        <v>1031.31</v>
      </c>
      <c r="N28" s="19" t="n">
        <f aca="false">G28-M28</f>
        <v>344.19</v>
      </c>
      <c r="O28" s="20" t="n">
        <f aca="false">IFERROR(G28/F28,0)</f>
        <v>0.324181004006599</v>
      </c>
      <c r="P28" s="21"/>
    </row>
    <row r="29" customFormat="false" ht="15" hidden="false" customHeight="false" outlineLevel="0" collapsed="false">
      <c r="A29" s="22" t="n">
        <v>46227</v>
      </c>
      <c r="B29" s="23" t="n">
        <v>1181</v>
      </c>
      <c r="C29" s="23" t="n">
        <v>3417</v>
      </c>
      <c r="D29" s="23" t="n">
        <v>0</v>
      </c>
      <c r="E29" s="23" t="n">
        <v>0</v>
      </c>
      <c r="F29" s="24" t="n">
        <f aca="false">B29+C29+D29+E29</f>
        <v>4598</v>
      </c>
      <c r="G29" s="23" t="n">
        <v>1399.46</v>
      </c>
      <c r="H29" s="23" t="n">
        <v>88.49</v>
      </c>
      <c r="I29" s="23" t="n">
        <v>327.66</v>
      </c>
      <c r="J29" s="23" t="n">
        <v>0</v>
      </c>
      <c r="K29" s="23" t="n">
        <v>615.16</v>
      </c>
      <c r="L29" s="23" t="n">
        <v>0</v>
      </c>
      <c r="M29" s="24" t="n">
        <f aca="false">SUM(H29:L29)</f>
        <v>1031.31</v>
      </c>
      <c r="N29" s="24" t="n">
        <f aca="false">G29-M29</f>
        <v>368.15</v>
      </c>
      <c r="O29" s="25" t="n">
        <f aca="false">IFERROR(G29/F29,0)</f>
        <v>0.304362766420183</v>
      </c>
      <c r="P29" s="26"/>
    </row>
    <row r="30" customFormat="false" ht="15" hidden="false" customHeight="false" outlineLevel="0" collapsed="false">
      <c r="A30" s="17" t="n">
        <v>46228</v>
      </c>
      <c r="B30" s="18" t="n">
        <v>1421</v>
      </c>
      <c r="C30" s="18" t="n">
        <v>2689</v>
      </c>
      <c r="D30" s="18" t="n">
        <v>0</v>
      </c>
      <c r="E30" s="18" t="n">
        <v>0</v>
      </c>
      <c r="F30" s="19" t="n">
        <f aca="false">B30+C30+D30+E30</f>
        <v>4110</v>
      </c>
      <c r="G30" s="18" t="n">
        <v>1480.52</v>
      </c>
      <c r="H30" s="18" t="n">
        <v>88.49</v>
      </c>
      <c r="I30" s="18" t="n">
        <v>327.66</v>
      </c>
      <c r="J30" s="18" t="n">
        <v>2</v>
      </c>
      <c r="K30" s="18" t="n">
        <v>615.16</v>
      </c>
      <c r="L30" s="18" t="n">
        <v>0</v>
      </c>
      <c r="M30" s="19" t="n">
        <f aca="false">SUM(H30:L30)</f>
        <v>1033.31</v>
      </c>
      <c r="N30" s="19" t="n">
        <f aca="false">G30-M30</f>
        <v>447.21</v>
      </c>
      <c r="O30" s="20" t="n">
        <f aca="false">IFERROR(G30/F30,0)</f>
        <v>0.360223844282238</v>
      </c>
      <c r="P30" s="21"/>
    </row>
    <row r="31" customFormat="false" ht="15" hidden="false" customHeight="false" outlineLevel="0" collapsed="false">
      <c r="A31" s="22" t="n">
        <v>46229</v>
      </c>
      <c r="B31" s="23" t="n">
        <v>886</v>
      </c>
      <c r="C31" s="23" t="n">
        <v>1867</v>
      </c>
      <c r="D31" s="23" t="n">
        <v>0</v>
      </c>
      <c r="E31" s="23" t="n">
        <v>0</v>
      </c>
      <c r="F31" s="24" t="n">
        <f aca="false">B31+C31+D31+E31</f>
        <v>2753</v>
      </c>
      <c r="G31" s="23" t="n">
        <v>900.94</v>
      </c>
      <c r="H31" s="23" t="n">
        <v>88.49</v>
      </c>
      <c r="I31" s="23" t="n">
        <v>327.66</v>
      </c>
      <c r="J31" s="23" t="n">
        <v>0</v>
      </c>
      <c r="K31" s="23" t="n">
        <v>615.16</v>
      </c>
      <c r="L31" s="23" t="n">
        <v>0</v>
      </c>
      <c r="M31" s="24" t="n">
        <f aca="false">SUM(H31:L31)</f>
        <v>1031.31</v>
      </c>
      <c r="N31" s="24" t="n">
        <f aca="false">G31-M31</f>
        <v>-130.37</v>
      </c>
      <c r="O31" s="25" t="n">
        <f aca="false">IFERROR(G31/F31,0)</f>
        <v>0.32725753723211</v>
      </c>
      <c r="P31" s="26"/>
    </row>
    <row r="32" customFormat="false" ht="15" hidden="false" customHeight="false" outlineLevel="0" collapsed="false">
      <c r="A32" s="17" t="n">
        <v>46230</v>
      </c>
      <c r="B32" s="18" t="n">
        <v>1384</v>
      </c>
      <c r="C32" s="18" t="n">
        <v>2266</v>
      </c>
      <c r="D32" s="18" t="n">
        <v>0</v>
      </c>
      <c r="E32" s="18" t="n">
        <v>0</v>
      </c>
      <c r="F32" s="19" t="n">
        <f aca="false">B32+C32+D32+E32</f>
        <v>3650</v>
      </c>
      <c r="G32" s="18" t="n">
        <v>1128.31</v>
      </c>
      <c r="H32" s="18" t="n">
        <v>88.49</v>
      </c>
      <c r="I32" s="18" t="n">
        <v>327.66</v>
      </c>
      <c r="J32" s="18" t="n">
        <v>74</v>
      </c>
      <c r="K32" s="18" t="n">
        <v>615.16</v>
      </c>
      <c r="L32" s="18" t="n">
        <v>0</v>
      </c>
      <c r="M32" s="19" t="n">
        <f aca="false">SUM(H32:L32)</f>
        <v>1105.31</v>
      </c>
      <c r="N32" s="19" t="n">
        <f aca="false">G32-M32</f>
        <v>23</v>
      </c>
      <c r="O32" s="20" t="n">
        <f aca="false">IFERROR(G32/F32,0)</f>
        <v>0.30912602739726</v>
      </c>
      <c r="P32" s="21"/>
    </row>
    <row r="33" customFormat="false" ht="15" hidden="false" customHeight="false" outlineLevel="0" collapsed="false">
      <c r="A33" s="22" t="n">
        <v>46231</v>
      </c>
      <c r="B33" s="23" t="n">
        <v>1507</v>
      </c>
      <c r="C33" s="23" t="n">
        <v>2763</v>
      </c>
      <c r="D33" s="23" t="n">
        <v>0</v>
      </c>
      <c r="E33" s="23" t="n">
        <v>0</v>
      </c>
      <c r="F33" s="24" t="n">
        <f aca="false">B33+C33+D33+E33</f>
        <v>4270</v>
      </c>
      <c r="G33" s="23" t="n">
        <v>1332.83</v>
      </c>
      <c r="H33" s="23" t="n">
        <v>88.49</v>
      </c>
      <c r="I33" s="23" t="n">
        <v>327.66</v>
      </c>
      <c r="J33" s="23" t="n">
        <v>0</v>
      </c>
      <c r="K33" s="23" t="n">
        <v>615.16</v>
      </c>
      <c r="L33" s="23" t="n">
        <v>0</v>
      </c>
      <c r="M33" s="24" t="n">
        <f aca="false">SUM(H33:L33)</f>
        <v>1031.31</v>
      </c>
      <c r="N33" s="24" t="n">
        <f aca="false">G33-M33</f>
        <v>301.52</v>
      </c>
      <c r="O33" s="25" t="n">
        <f aca="false">IFERROR(G33/F33,0)</f>
        <v>0.312138173302108</v>
      </c>
      <c r="P33" s="26"/>
    </row>
    <row r="34" customFormat="false" ht="15" hidden="false" customHeight="false" outlineLevel="0" collapsed="false">
      <c r="A34" s="17" t="n">
        <v>46232</v>
      </c>
      <c r="B34" s="18" t="n">
        <v>1010</v>
      </c>
      <c r="C34" s="18" t="n">
        <v>2835</v>
      </c>
      <c r="D34" s="18" t="n">
        <v>0</v>
      </c>
      <c r="E34" s="18" t="n">
        <v>0</v>
      </c>
      <c r="F34" s="19" t="n">
        <f aca="false">B34+C34+D34+E34</f>
        <v>3845</v>
      </c>
      <c r="G34" s="18" t="n">
        <v>1229.84</v>
      </c>
      <c r="H34" s="18" t="n">
        <v>88.49</v>
      </c>
      <c r="I34" s="18" t="n">
        <v>327.66</v>
      </c>
      <c r="J34" s="18" t="n">
        <v>0</v>
      </c>
      <c r="K34" s="18" t="n">
        <v>615.16</v>
      </c>
      <c r="L34" s="18" t="n">
        <v>0</v>
      </c>
      <c r="M34" s="19" t="n">
        <f aca="false">SUM(H34:L34)</f>
        <v>1031.31</v>
      </c>
      <c r="N34" s="19" t="n">
        <f aca="false">G34-M34</f>
        <v>198.53</v>
      </c>
      <c r="O34" s="20" t="n">
        <f aca="false">IFERROR(G34/F34,0)</f>
        <v>0.319854356306892</v>
      </c>
      <c r="P34" s="21"/>
    </row>
    <row r="35" customFormat="false" ht="15" hidden="false" customHeight="false" outlineLevel="0" collapsed="false">
      <c r="A35" s="22" t="n">
        <v>46233</v>
      </c>
      <c r="B35" s="23" t="n">
        <v>1340</v>
      </c>
      <c r="C35" s="23" t="n">
        <v>2608</v>
      </c>
      <c r="D35" s="23" t="n">
        <v>0</v>
      </c>
      <c r="E35" s="23" t="n">
        <v>0</v>
      </c>
      <c r="F35" s="24" t="n">
        <f aca="false">B35+C35+D35+E35</f>
        <v>3948</v>
      </c>
      <c r="G35" s="23" t="n">
        <v>1379.72</v>
      </c>
      <c r="H35" s="23" t="n">
        <v>88.49</v>
      </c>
      <c r="I35" s="23" t="n">
        <v>327.66</v>
      </c>
      <c r="J35" s="23" t="n">
        <v>0</v>
      </c>
      <c r="K35" s="23" t="n">
        <v>615.16</v>
      </c>
      <c r="L35" s="23" t="n">
        <v>0</v>
      </c>
      <c r="M35" s="24" t="n">
        <f aca="false">SUM(H35:L35)</f>
        <v>1031.31</v>
      </c>
      <c r="N35" s="24" t="n">
        <f aca="false">G35-M35</f>
        <v>348.41</v>
      </c>
      <c r="O35" s="25" t="n">
        <f aca="false">IFERROR(G35/F35,0)</f>
        <v>0.349473150962513</v>
      </c>
      <c r="P35" s="26"/>
    </row>
    <row r="36" customFormat="false" ht="15" hidden="false" customHeight="false" outlineLevel="0" collapsed="false">
      <c r="A36" s="17" t="n">
        <v>46234</v>
      </c>
      <c r="B36" s="18" t="n">
        <v>1504</v>
      </c>
      <c r="C36" s="18" t="n">
        <v>2389</v>
      </c>
      <c r="D36" s="18" t="n">
        <v>0</v>
      </c>
      <c r="E36" s="18" t="n">
        <v>0</v>
      </c>
      <c r="F36" s="19" t="n">
        <f aca="false">B36+C36+D36+E36</f>
        <v>3893</v>
      </c>
      <c r="G36" s="18" t="n">
        <v>1260.51</v>
      </c>
      <c r="H36" s="18" t="n">
        <v>88.49</v>
      </c>
      <c r="I36" s="18" t="n">
        <v>327.66</v>
      </c>
      <c r="J36" s="18" t="n">
        <v>0</v>
      </c>
      <c r="K36" s="18" t="n">
        <v>615.16</v>
      </c>
      <c r="L36" s="18" t="n">
        <v>0</v>
      </c>
      <c r="M36" s="19" t="n">
        <f aca="false">SUM(H36:L36)</f>
        <v>1031.31</v>
      </c>
      <c r="N36" s="19" t="n">
        <f aca="false">G36-M36</f>
        <v>229.2</v>
      </c>
      <c r="O36" s="20" t="n">
        <f aca="false">IFERROR(G36/F36,0)</f>
        <v>0.323788851785256</v>
      </c>
      <c r="P36" s="21"/>
    </row>
    <row r="38" customFormat="false" ht="15" hidden="false" customHeight="false" outlineLevel="0" collapsed="false">
      <c r="A38" s="27" t="s">
        <v>51</v>
      </c>
      <c r="B38" s="28" t="n">
        <f aca="false">SUM(B6:B36)</f>
        <v>37018</v>
      </c>
      <c r="C38" s="28" t="n">
        <f aca="false">SUM(C6:C36)</f>
        <v>74980</v>
      </c>
      <c r="D38" s="28" t="n">
        <f aca="false">SUM(D6:D36)</f>
        <v>-1804</v>
      </c>
      <c r="E38" s="28" t="n">
        <f aca="false">SUM(E6:E36)</f>
        <v>259</v>
      </c>
      <c r="F38" s="28" t="n">
        <f aca="false">SUM(F6:F36)</f>
        <v>110453</v>
      </c>
      <c r="G38" s="28" t="n">
        <f aca="false">SUM(G6:G36)</f>
        <v>37272.54</v>
      </c>
      <c r="H38" s="28" t="n">
        <f aca="false">SUM(H6:H36)</f>
        <v>2743.19</v>
      </c>
      <c r="I38" s="28" t="n">
        <f aca="false">SUM(I6:I36)</f>
        <v>10157.46</v>
      </c>
      <c r="J38" s="28" t="n">
        <f aca="false">SUM(J6:J36)</f>
        <v>76</v>
      </c>
      <c r="K38" s="28" t="n">
        <f aca="false">SUM(K6:K36)</f>
        <v>18454.8</v>
      </c>
      <c r="L38" s="28" t="n">
        <f aca="false">SUM(L6:L36)</f>
        <v>65</v>
      </c>
      <c r="M38" s="28" t="n">
        <f aca="false">SUM(M6:M36)</f>
        <v>31496.45</v>
      </c>
      <c r="N38" s="28" t="n">
        <f aca="false">SUM(N6:N36)</f>
        <v>5776.09</v>
      </c>
      <c r="O38" s="29" t="n">
        <f aca="false">IFERROR(G38/F38,0)</f>
        <v>0.337451585742352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46235</v>
      </c>
      <c r="B6" s="18" t="n">
        <v>1157</v>
      </c>
      <c r="C6" s="18" t="n">
        <v>2865</v>
      </c>
      <c r="D6" s="18" t="n">
        <v>0</v>
      </c>
      <c r="E6" s="18" t="n">
        <v>0</v>
      </c>
      <c r="F6" s="19" t="n">
        <f aca="false">B6+C6+D6+E6</f>
        <v>4022</v>
      </c>
      <c r="G6" s="18" t="n">
        <v>1235.99</v>
      </c>
      <c r="H6" s="18" t="n">
        <v>75.67</v>
      </c>
      <c r="I6" s="18" t="n">
        <v>292.89</v>
      </c>
      <c r="J6" s="18" t="n">
        <v>0</v>
      </c>
      <c r="K6" s="18" t="n">
        <v>564.46</v>
      </c>
      <c r="L6" s="18" t="n">
        <v>0</v>
      </c>
      <c r="M6" s="19" t="n">
        <f aca="false">SUM(H6:L6)</f>
        <v>933.02</v>
      </c>
      <c r="N6" s="19" t="n">
        <f aca="false">G6-M6</f>
        <v>302.97</v>
      </c>
      <c r="O6" s="20" t="n">
        <f aca="false">IFERROR(G6/F6,0)</f>
        <v>0.307307309796121</v>
      </c>
      <c r="P6" s="21"/>
    </row>
    <row r="7" customFormat="false" ht="15" hidden="false" customHeight="false" outlineLevel="0" collapsed="false">
      <c r="A7" s="22" t="n">
        <v>46236</v>
      </c>
      <c r="B7" s="23" t="n">
        <v>1105</v>
      </c>
      <c r="C7" s="23" t="n">
        <v>2182</v>
      </c>
      <c r="D7" s="23" t="n">
        <v>0</v>
      </c>
      <c r="E7" s="23" t="n">
        <v>0</v>
      </c>
      <c r="F7" s="24" t="n">
        <f aca="false">B7+C7+D7+E7</f>
        <v>3287</v>
      </c>
      <c r="G7" s="23" t="n">
        <v>1236.12</v>
      </c>
      <c r="H7" s="23" t="n">
        <v>75.67</v>
      </c>
      <c r="I7" s="23" t="n">
        <v>292.89</v>
      </c>
      <c r="J7" s="23" t="n">
        <v>0</v>
      </c>
      <c r="K7" s="23" t="n">
        <v>564.46</v>
      </c>
      <c r="L7" s="23" t="n">
        <v>0</v>
      </c>
      <c r="M7" s="24" t="n">
        <f aca="false">SUM(H7:L7)</f>
        <v>933.02</v>
      </c>
      <c r="N7" s="24" t="n">
        <f aca="false">G7-M7</f>
        <v>303.1</v>
      </c>
      <c r="O7" s="25" t="n">
        <f aca="false">IFERROR(G7/F7,0)</f>
        <v>0.376063279586249</v>
      </c>
      <c r="P7" s="26"/>
    </row>
    <row r="8" customFormat="false" ht="15" hidden="false" customHeight="false" outlineLevel="0" collapsed="false">
      <c r="A8" s="17" t="n">
        <v>46237</v>
      </c>
      <c r="B8" s="18" t="n">
        <v>1206</v>
      </c>
      <c r="C8" s="18" t="n">
        <v>2945</v>
      </c>
      <c r="D8" s="18" t="n">
        <v>-297</v>
      </c>
      <c r="E8" s="18" t="n">
        <v>0</v>
      </c>
      <c r="F8" s="19" t="n">
        <f aca="false">B8+C8+D8+E8</f>
        <v>3854</v>
      </c>
      <c r="G8" s="18" t="n">
        <v>1389.37</v>
      </c>
      <c r="H8" s="18" t="n">
        <v>75.67</v>
      </c>
      <c r="I8" s="18" t="n">
        <v>292.89</v>
      </c>
      <c r="J8" s="18" t="n">
        <v>0</v>
      </c>
      <c r="K8" s="18" t="n">
        <v>564.46</v>
      </c>
      <c r="L8" s="18" t="n">
        <v>0</v>
      </c>
      <c r="M8" s="19" t="n">
        <f aca="false">SUM(H8:L8)</f>
        <v>933.02</v>
      </c>
      <c r="N8" s="19" t="n">
        <f aca="false">G8-M8</f>
        <v>456.35</v>
      </c>
      <c r="O8" s="20" t="n">
        <f aca="false">IFERROR(G8/F8,0)</f>
        <v>0.360500778412039</v>
      </c>
      <c r="P8" s="21"/>
    </row>
    <row r="9" customFormat="false" ht="15" hidden="false" customHeight="false" outlineLevel="0" collapsed="false">
      <c r="A9" s="22" t="n">
        <v>46238</v>
      </c>
      <c r="B9" s="23" t="n">
        <v>1376</v>
      </c>
      <c r="C9" s="23" t="n">
        <v>2175</v>
      </c>
      <c r="D9" s="23" t="n">
        <v>0</v>
      </c>
      <c r="E9" s="23" t="n">
        <v>0</v>
      </c>
      <c r="F9" s="24" t="n">
        <f aca="false">B9+C9+D9+E9</f>
        <v>3551</v>
      </c>
      <c r="G9" s="23" t="n">
        <v>1116.86</v>
      </c>
      <c r="H9" s="23" t="n">
        <v>75.67</v>
      </c>
      <c r="I9" s="23" t="n">
        <v>292.89</v>
      </c>
      <c r="J9" s="23" t="n">
        <v>0</v>
      </c>
      <c r="K9" s="23" t="n">
        <v>564.46</v>
      </c>
      <c r="L9" s="23" t="n">
        <v>0</v>
      </c>
      <c r="M9" s="24" t="n">
        <f aca="false">SUM(H9:L9)</f>
        <v>933.02</v>
      </c>
      <c r="N9" s="24" t="n">
        <f aca="false">G9-M9</f>
        <v>183.84</v>
      </c>
      <c r="O9" s="25" t="n">
        <f aca="false">IFERROR(G9/F9,0)</f>
        <v>0.314519853562377</v>
      </c>
      <c r="P9" s="26"/>
    </row>
    <row r="10" customFormat="false" ht="15" hidden="false" customHeight="false" outlineLevel="0" collapsed="false">
      <c r="A10" s="17" t="n">
        <v>46239</v>
      </c>
      <c r="B10" s="18" t="n">
        <v>1111</v>
      </c>
      <c r="C10" s="18" t="n">
        <v>2321</v>
      </c>
      <c r="D10" s="18" t="n">
        <v>0</v>
      </c>
      <c r="E10" s="18" t="n">
        <v>0</v>
      </c>
      <c r="F10" s="19" t="n">
        <f aca="false">B10+C10+D10+E10</f>
        <v>3432</v>
      </c>
      <c r="G10" s="18" t="n">
        <v>1054.65</v>
      </c>
      <c r="H10" s="18" t="n">
        <v>75.67</v>
      </c>
      <c r="I10" s="18" t="n">
        <v>292.89</v>
      </c>
      <c r="J10" s="18" t="n">
        <v>0</v>
      </c>
      <c r="K10" s="18" t="n">
        <v>564.46</v>
      </c>
      <c r="L10" s="18" t="n">
        <v>0</v>
      </c>
      <c r="M10" s="19" t="n">
        <f aca="false">SUM(H10:L10)</f>
        <v>933.02</v>
      </c>
      <c r="N10" s="19" t="n">
        <f aca="false">G10-M10</f>
        <v>121.63</v>
      </c>
      <c r="O10" s="20" t="n">
        <f aca="false">IFERROR(G10/F10,0)</f>
        <v>0.307298951048951</v>
      </c>
      <c r="P10" s="21"/>
    </row>
    <row r="11" customFormat="false" ht="15" hidden="false" customHeight="false" outlineLevel="0" collapsed="false">
      <c r="A11" s="22" t="n">
        <v>46240</v>
      </c>
      <c r="B11" s="23" t="n">
        <v>0</v>
      </c>
      <c r="C11" s="23" t="n">
        <v>0</v>
      </c>
      <c r="D11" s="23" t="n">
        <v>0</v>
      </c>
      <c r="E11" s="23" t="n">
        <v>0</v>
      </c>
      <c r="F11" s="24" t="n">
        <f aca="false">B11+C11+D11+E11</f>
        <v>0</v>
      </c>
      <c r="G11" s="23" t="n">
        <v>0</v>
      </c>
      <c r="H11" s="23" t="n">
        <v>75.67</v>
      </c>
      <c r="I11" s="23" t="n">
        <v>292.89</v>
      </c>
      <c r="J11" s="23" t="n">
        <v>0</v>
      </c>
      <c r="K11" s="23" t="n">
        <v>0</v>
      </c>
      <c r="L11" s="23" t="n">
        <v>0</v>
      </c>
      <c r="M11" s="24" t="n">
        <f aca="false">SUM(H11:L11)</f>
        <v>368.56</v>
      </c>
      <c r="N11" s="24" t="n">
        <f aca="false">G11-M11</f>
        <v>-368.56</v>
      </c>
      <c r="O11" s="25" t="n">
        <f aca="false">IFERROR(G11/F11,0)</f>
        <v>0</v>
      </c>
      <c r="P11" s="26" t="s">
        <v>50</v>
      </c>
    </row>
    <row r="12" customFormat="false" ht="15" hidden="false" customHeight="false" outlineLevel="0" collapsed="false">
      <c r="A12" s="17" t="n">
        <v>46241</v>
      </c>
      <c r="B12" s="18" t="n">
        <v>2087</v>
      </c>
      <c r="C12" s="18" t="n">
        <v>3809</v>
      </c>
      <c r="D12" s="18" t="n">
        <v>0</v>
      </c>
      <c r="E12" s="18" t="n">
        <v>0</v>
      </c>
      <c r="F12" s="19" t="n">
        <f aca="false">B12+C12+D12+E12</f>
        <v>5896</v>
      </c>
      <c r="G12" s="18" t="n">
        <v>1904.75</v>
      </c>
      <c r="H12" s="18" t="n">
        <v>75.67</v>
      </c>
      <c r="I12" s="18" t="n">
        <v>292.89</v>
      </c>
      <c r="J12" s="18" t="n">
        <v>0</v>
      </c>
      <c r="K12" s="18" t="n">
        <v>564.46</v>
      </c>
      <c r="L12" s="18" t="n">
        <v>0</v>
      </c>
      <c r="M12" s="19" t="n">
        <f aca="false">SUM(H12:L12)</f>
        <v>933.02</v>
      </c>
      <c r="N12" s="19" t="n">
        <f aca="false">G12-M12</f>
        <v>971.73</v>
      </c>
      <c r="O12" s="20" t="n">
        <f aca="false">IFERROR(G12/F12,0)</f>
        <v>0.323058005427408</v>
      </c>
      <c r="P12" s="21"/>
    </row>
    <row r="13" customFormat="false" ht="15" hidden="false" customHeight="false" outlineLevel="0" collapsed="false">
      <c r="A13" s="22" t="n">
        <v>46242</v>
      </c>
      <c r="B13" s="23" t="n">
        <v>1739</v>
      </c>
      <c r="C13" s="23" t="n">
        <v>3490</v>
      </c>
      <c r="D13" s="23" t="n">
        <v>0</v>
      </c>
      <c r="E13" s="23" t="n">
        <v>0</v>
      </c>
      <c r="F13" s="24" t="n">
        <f aca="false">B13+C13+D13+E13</f>
        <v>5229</v>
      </c>
      <c r="G13" s="23" t="n">
        <v>1758.96</v>
      </c>
      <c r="H13" s="23" t="n">
        <v>75.67</v>
      </c>
      <c r="I13" s="23" t="n">
        <v>292.89</v>
      </c>
      <c r="J13" s="23" t="n">
        <v>0</v>
      </c>
      <c r="K13" s="23" t="n">
        <v>564.46</v>
      </c>
      <c r="L13" s="23" t="n">
        <v>0</v>
      </c>
      <c r="M13" s="24" t="n">
        <f aca="false">SUM(H13:L13)</f>
        <v>933.02</v>
      </c>
      <c r="N13" s="24" t="n">
        <f aca="false">G13-M13</f>
        <v>825.94</v>
      </c>
      <c r="O13" s="25" t="n">
        <f aca="false">IFERROR(G13/F13,0)</f>
        <v>0.336385542168675</v>
      </c>
      <c r="P13" s="26"/>
    </row>
    <row r="14" customFormat="false" ht="15" hidden="false" customHeight="false" outlineLevel="0" collapsed="false">
      <c r="A14" s="17" t="n">
        <v>46243</v>
      </c>
      <c r="B14" s="18" t="n">
        <v>1458</v>
      </c>
      <c r="C14" s="18" t="n">
        <v>2228</v>
      </c>
      <c r="D14" s="18" t="n">
        <v>0</v>
      </c>
      <c r="E14" s="18" t="n">
        <v>0</v>
      </c>
      <c r="F14" s="19" t="n">
        <f aca="false">B14+C14+D14+E14</f>
        <v>3686</v>
      </c>
      <c r="G14" s="18" t="n">
        <v>1224.98</v>
      </c>
      <c r="H14" s="18" t="n">
        <v>75.67</v>
      </c>
      <c r="I14" s="18" t="n">
        <v>292.89</v>
      </c>
      <c r="J14" s="18" t="n">
        <v>0</v>
      </c>
      <c r="K14" s="18" t="n">
        <v>564.46</v>
      </c>
      <c r="L14" s="18" t="n">
        <v>0</v>
      </c>
      <c r="M14" s="19" t="n">
        <f aca="false">SUM(H14:L14)</f>
        <v>933.02</v>
      </c>
      <c r="N14" s="19" t="n">
        <f aca="false">G14-M14</f>
        <v>291.96</v>
      </c>
      <c r="O14" s="20" t="n">
        <f aca="false">IFERROR(G14/F14,0)</f>
        <v>0.332333152468801</v>
      </c>
      <c r="P14" s="21"/>
    </row>
    <row r="15" customFormat="false" ht="15" hidden="false" customHeight="false" outlineLevel="0" collapsed="false">
      <c r="A15" s="22" t="n">
        <v>46244</v>
      </c>
      <c r="B15" s="23" t="n">
        <v>1675</v>
      </c>
      <c r="C15" s="23" t="n">
        <v>3130</v>
      </c>
      <c r="D15" s="23" t="n">
        <v>0</v>
      </c>
      <c r="E15" s="23" t="n">
        <v>0</v>
      </c>
      <c r="F15" s="24" t="n">
        <f aca="false">B15+C15+D15+E15</f>
        <v>4805</v>
      </c>
      <c r="G15" s="23" t="n">
        <v>1650.07</v>
      </c>
      <c r="H15" s="23" t="n">
        <v>75.67</v>
      </c>
      <c r="I15" s="23" t="n">
        <v>292.89</v>
      </c>
      <c r="J15" s="23" t="n">
        <v>0</v>
      </c>
      <c r="K15" s="23" t="n">
        <v>564.46</v>
      </c>
      <c r="L15" s="23" t="n">
        <v>0</v>
      </c>
      <c r="M15" s="24" t="n">
        <f aca="false">SUM(H15:L15)</f>
        <v>933.02</v>
      </c>
      <c r="N15" s="24" t="n">
        <f aca="false">G15-M15</f>
        <v>717.05</v>
      </c>
      <c r="O15" s="25" t="n">
        <f aca="false">IFERROR(G15/F15,0)</f>
        <v>0.343406867845994</v>
      </c>
      <c r="P15" s="26"/>
    </row>
    <row r="16" customFormat="false" ht="15" hidden="false" customHeight="false" outlineLevel="0" collapsed="false">
      <c r="A16" s="17" t="n">
        <v>46245</v>
      </c>
      <c r="B16" s="18" t="n">
        <v>1380</v>
      </c>
      <c r="C16" s="18" t="n">
        <v>3155</v>
      </c>
      <c r="D16" s="18" t="n">
        <v>0</v>
      </c>
      <c r="E16" s="18" t="n">
        <v>0</v>
      </c>
      <c r="F16" s="19" t="n">
        <f aca="false">B16+C16+D16+E16</f>
        <v>4535</v>
      </c>
      <c r="G16" s="18" t="n">
        <v>1634.94</v>
      </c>
      <c r="H16" s="18" t="n">
        <v>75.67</v>
      </c>
      <c r="I16" s="18" t="n">
        <v>292.89</v>
      </c>
      <c r="J16" s="18" t="n">
        <v>0</v>
      </c>
      <c r="K16" s="18" t="n">
        <v>564.46</v>
      </c>
      <c r="L16" s="18" t="n">
        <v>0</v>
      </c>
      <c r="M16" s="19" t="n">
        <f aca="false">SUM(H16:L16)</f>
        <v>933.02</v>
      </c>
      <c r="N16" s="19" t="n">
        <f aca="false">G16-M16</f>
        <v>701.92</v>
      </c>
      <c r="O16" s="20" t="n">
        <f aca="false">IFERROR(G16/F16,0)</f>
        <v>0.36051598676957</v>
      </c>
      <c r="P16" s="21"/>
    </row>
    <row r="17" customFormat="false" ht="15" hidden="false" customHeight="false" outlineLevel="0" collapsed="false">
      <c r="A17" s="22" t="n">
        <v>46246</v>
      </c>
      <c r="B17" s="23" t="n">
        <v>1182</v>
      </c>
      <c r="C17" s="23" t="n">
        <v>3031</v>
      </c>
      <c r="D17" s="23" t="n">
        <v>0</v>
      </c>
      <c r="E17" s="23" t="n">
        <v>0</v>
      </c>
      <c r="F17" s="24" t="n">
        <f aca="false">B17+C17+D17+E17</f>
        <v>4213</v>
      </c>
      <c r="G17" s="23" t="n">
        <v>1449.01</v>
      </c>
      <c r="H17" s="23" t="n">
        <v>75.67</v>
      </c>
      <c r="I17" s="23" t="n">
        <v>292.89</v>
      </c>
      <c r="J17" s="23" t="n">
        <v>0</v>
      </c>
      <c r="K17" s="23" t="n">
        <v>564.46</v>
      </c>
      <c r="L17" s="23" t="n">
        <v>0</v>
      </c>
      <c r="M17" s="24" t="n">
        <f aca="false">SUM(H17:L17)</f>
        <v>933.02</v>
      </c>
      <c r="N17" s="24" t="n">
        <f aca="false">G17-M17</f>
        <v>515.99</v>
      </c>
      <c r="O17" s="25" t="n">
        <f aca="false">IFERROR(G17/F17,0)</f>
        <v>0.343937811535723</v>
      </c>
      <c r="P17" s="26"/>
    </row>
    <row r="18" customFormat="false" ht="15" hidden="false" customHeight="false" outlineLevel="0" collapsed="false">
      <c r="A18" s="17" t="n">
        <v>46247</v>
      </c>
      <c r="B18" s="18" t="n">
        <v>1520</v>
      </c>
      <c r="C18" s="18" t="n">
        <v>2764</v>
      </c>
      <c r="D18" s="18" t="n">
        <v>0</v>
      </c>
      <c r="E18" s="18" t="n">
        <v>0</v>
      </c>
      <c r="F18" s="19" t="n">
        <f aca="false">B18+C18+D18+E18</f>
        <v>4284</v>
      </c>
      <c r="G18" s="18" t="n">
        <v>1326.82</v>
      </c>
      <c r="H18" s="18" t="n">
        <v>75.67</v>
      </c>
      <c r="I18" s="18" t="n">
        <v>292.89</v>
      </c>
      <c r="J18" s="18" t="n">
        <v>0</v>
      </c>
      <c r="K18" s="18" t="n">
        <v>564.46</v>
      </c>
      <c r="L18" s="18" t="n">
        <v>0</v>
      </c>
      <c r="M18" s="19" t="n">
        <f aca="false">SUM(H18:L18)</f>
        <v>933.02</v>
      </c>
      <c r="N18" s="19" t="n">
        <f aca="false">G18-M18</f>
        <v>393.8</v>
      </c>
      <c r="O18" s="20" t="n">
        <f aca="false">IFERROR(G18/F18,0)</f>
        <v>0.309715219421102</v>
      </c>
      <c r="P18" s="21"/>
    </row>
    <row r="19" customFormat="false" ht="15" hidden="false" customHeight="false" outlineLevel="0" collapsed="false">
      <c r="A19" s="22" t="n">
        <v>46248</v>
      </c>
      <c r="B19" s="23" t="n">
        <v>1862</v>
      </c>
      <c r="C19" s="23" t="n">
        <v>4651</v>
      </c>
      <c r="D19" s="23" t="n">
        <v>0</v>
      </c>
      <c r="E19" s="23" t="n">
        <v>0</v>
      </c>
      <c r="F19" s="24" t="n">
        <f aca="false">B19+C19+D19+E19</f>
        <v>6513</v>
      </c>
      <c r="G19" s="23" t="n">
        <v>2036.42</v>
      </c>
      <c r="H19" s="23" t="n">
        <v>75.67</v>
      </c>
      <c r="I19" s="23" t="n">
        <v>292.89</v>
      </c>
      <c r="J19" s="23" t="n">
        <v>0</v>
      </c>
      <c r="K19" s="23" t="n">
        <v>564.46</v>
      </c>
      <c r="L19" s="23" t="n">
        <v>0</v>
      </c>
      <c r="M19" s="24" t="n">
        <f aca="false">SUM(H19:L19)</f>
        <v>933.02</v>
      </c>
      <c r="N19" s="24" t="n">
        <f aca="false">G19-M19</f>
        <v>1103.4</v>
      </c>
      <c r="O19" s="25" t="n">
        <f aca="false">IFERROR(G19/F19,0)</f>
        <v>0.312670044526332</v>
      </c>
      <c r="P19" s="26"/>
    </row>
    <row r="20" customFormat="false" ht="15" hidden="false" customHeight="false" outlineLevel="0" collapsed="false">
      <c r="A20" s="17" t="n">
        <v>46249</v>
      </c>
      <c r="B20" s="18" t="n">
        <v>1360</v>
      </c>
      <c r="C20" s="18" t="n">
        <v>3792</v>
      </c>
      <c r="D20" s="18" t="n">
        <v>0</v>
      </c>
      <c r="E20" s="18" t="n">
        <v>0</v>
      </c>
      <c r="F20" s="19" t="n">
        <f aca="false">B20+C20+D20+E20</f>
        <v>5152</v>
      </c>
      <c r="G20" s="18" t="n">
        <v>1954.57</v>
      </c>
      <c r="H20" s="18" t="n">
        <v>75.67</v>
      </c>
      <c r="I20" s="18" t="n">
        <v>292.89</v>
      </c>
      <c r="J20" s="18" t="n">
        <v>0</v>
      </c>
      <c r="K20" s="18" t="n">
        <v>564.46</v>
      </c>
      <c r="L20" s="18" t="n">
        <v>0</v>
      </c>
      <c r="M20" s="19" t="n">
        <f aca="false">SUM(H20:L20)</f>
        <v>933.02</v>
      </c>
      <c r="N20" s="19" t="n">
        <f aca="false">G20-M20</f>
        <v>1021.55</v>
      </c>
      <c r="O20" s="20" t="n">
        <f aca="false">IFERROR(G20/F20,0)</f>
        <v>0.379380822981366</v>
      </c>
      <c r="P20" s="21"/>
    </row>
    <row r="21" customFormat="false" ht="15" hidden="false" customHeight="false" outlineLevel="0" collapsed="false">
      <c r="A21" s="22" t="n">
        <v>46250</v>
      </c>
      <c r="B21" s="23" t="n">
        <v>922</v>
      </c>
      <c r="C21" s="23" t="n">
        <v>2523</v>
      </c>
      <c r="D21" s="23" t="n">
        <v>0</v>
      </c>
      <c r="E21" s="23" t="n">
        <v>0</v>
      </c>
      <c r="F21" s="24" t="n">
        <f aca="false">B21+C21+D21+E21</f>
        <v>3445</v>
      </c>
      <c r="G21" s="23" t="n">
        <v>1262.84</v>
      </c>
      <c r="H21" s="23" t="n">
        <v>75.67</v>
      </c>
      <c r="I21" s="23" t="n">
        <v>292.89</v>
      </c>
      <c r="J21" s="23" t="n">
        <v>0</v>
      </c>
      <c r="K21" s="23" t="n">
        <v>564.46</v>
      </c>
      <c r="L21" s="23" t="n">
        <v>0</v>
      </c>
      <c r="M21" s="24" t="n">
        <f aca="false">SUM(H21:L21)</f>
        <v>933.02</v>
      </c>
      <c r="N21" s="24" t="n">
        <f aca="false">G21-M21</f>
        <v>329.82</v>
      </c>
      <c r="O21" s="25" t="n">
        <f aca="false">IFERROR(G21/F21,0)</f>
        <v>0.366571843251089</v>
      </c>
      <c r="P21" s="26"/>
    </row>
    <row r="22" customFormat="false" ht="15" hidden="false" customHeight="false" outlineLevel="0" collapsed="false">
      <c r="A22" s="17" t="n">
        <v>46251</v>
      </c>
      <c r="B22" s="18" t="n">
        <v>1389</v>
      </c>
      <c r="C22" s="18" t="n">
        <v>2868</v>
      </c>
      <c r="D22" s="18" t="n">
        <v>0</v>
      </c>
      <c r="E22" s="18" t="n">
        <v>0</v>
      </c>
      <c r="F22" s="19" t="n">
        <f aca="false">B22+C22+D22+E22</f>
        <v>4257</v>
      </c>
      <c r="G22" s="18" t="n">
        <v>1370.22</v>
      </c>
      <c r="H22" s="18" t="n">
        <v>75.67</v>
      </c>
      <c r="I22" s="18" t="n">
        <v>292.89</v>
      </c>
      <c r="J22" s="18" t="n">
        <v>0</v>
      </c>
      <c r="K22" s="18" t="n">
        <v>564.46</v>
      </c>
      <c r="L22" s="18" t="n">
        <v>0</v>
      </c>
      <c r="M22" s="19" t="n">
        <f aca="false">SUM(H22:L22)</f>
        <v>933.02</v>
      </c>
      <c r="N22" s="19" t="n">
        <f aca="false">G22-M22</f>
        <v>437.2</v>
      </c>
      <c r="O22" s="20" t="n">
        <f aca="false">IFERROR(G22/F22,0)</f>
        <v>0.321874559548978</v>
      </c>
      <c r="P22" s="21"/>
    </row>
    <row r="23" customFormat="false" ht="15" hidden="false" customHeight="false" outlineLevel="0" collapsed="false">
      <c r="A23" s="22" t="n">
        <v>46252</v>
      </c>
      <c r="B23" s="23" t="n">
        <v>1368</v>
      </c>
      <c r="C23" s="23" t="n">
        <v>3406</v>
      </c>
      <c r="D23" s="23" t="n">
        <v>0</v>
      </c>
      <c r="E23" s="23" t="n">
        <v>0</v>
      </c>
      <c r="F23" s="24" t="n">
        <f aca="false">B23+C23+D23+E23</f>
        <v>4774</v>
      </c>
      <c r="G23" s="23" t="n">
        <v>1642.74</v>
      </c>
      <c r="H23" s="23" t="n">
        <v>75.67</v>
      </c>
      <c r="I23" s="23" t="n">
        <v>292.89</v>
      </c>
      <c r="J23" s="23" t="n">
        <v>0</v>
      </c>
      <c r="K23" s="23" t="n">
        <v>564.46</v>
      </c>
      <c r="L23" s="23" t="n">
        <v>0</v>
      </c>
      <c r="M23" s="24" t="n">
        <f aca="false">SUM(H23:L23)</f>
        <v>933.02</v>
      </c>
      <c r="N23" s="24" t="n">
        <f aca="false">G23-M23</f>
        <v>709.72</v>
      </c>
      <c r="O23" s="25" t="n">
        <f aca="false">IFERROR(G23/F23,0)</f>
        <v>0.344101382488479</v>
      </c>
      <c r="P23" s="26"/>
    </row>
    <row r="24" customFormat="false" ht="15" hidden="false" customHeight="false" outlineLevel="0" collapsed="false">
      <c r="A24" s="17" t="n">
        <v>46253</v>
      </c>
      <c r="B24" s="18" t="n">
        <v>1505</v>
      </c>
      <c r="C24" s="18" t="n">
        <v>3107</v>
      </c>
      <c r="D24" s="18" t="n">
        <v>0</v>
      </c>
      <c r="E24" s="18" t="n">
        <v>0</v>
      </c>
      <c r="F24" s="19" t="n">
        <f aca="false">B24+C24+D24+E24</f>
        <v>4612</v>
      </c>
      <c r="G24" s="18" t="n">
        <v>1708.04</v>
      </c>
      <c r="H24" s="18" t="n">
        <v>75.67</v>
      </c>
      <c r="I24" s="18" t="n">
        <v>292.89</v>
      </c>
      <c r="J24" s="18" t="n">
        <v>0</v>
      </c>
      <c r="K24" s="18" t="n">
        <v>564.46</v>
      </c>
      <c r="L24" s="18" t="n">
        <v>0</v>
      </c>
      <c r="M24" s="19" t="n">
        <f aca="false">SUM(H24:L24)</f>
        <v>933.02</v>
      </c>
      <c r="N24" s="19" t="n">
        <f aca="false">G24-M24</f>
        <v>775.02</v>
      </c>
      <c r="O24" s="20" t="n">
        <f aca="false">IFERROR(G24/F24,0)</f>
        <v>0.370346921075455</v>
      </c>
      <c r="P24" s="21"/>
    </row>
    <row r="25" customFormat="false" ht="15" hidden="false" customHeight="false" outlineLevel="0" collapsed="false">
      <c r="A25" s="22" t="n">
        <v>46254</v>
      </c>
      <c r="B25" s="23" t="n">
        <v>1148</v>
      </c>
      <c r="C25" s="23" t="n">
        <v>1967</v>
      </c>
      <c r="D25" s="23" t="n">
        <v>0</v>
      </c>
      <c r="E25" s="23" t="n">
        <v>0</v>
      </c>
      <c r="F25" s="24" t="n">
        <f aca="false">B25+C25+D25+E25</f>
        <v>3115</v>
      </c>
      <c r="G25" s="23" t="n">
        <v>1037.9</v>
      </c>
      <c r="H25" s="23" t="n">
        <v>75.67</v>
      </c>
      <c r="I25" s="23" t="n">
        <v>292.89</v>
      </c>
      <c r="J25" s="23" t="n">
        <v>0</v>
      </c>
      <c r="K25" s="23" t="n">
        <v>564.46</v>
      </c>
      <c r="L25" s="23" t="n">
        <v>0</v>
      </c>
      <c r="M25" s="24" t="n">
        <f aca="false">SUM(H25:L25)</f>
        <v>933.02</v>
      </c>
      <c r="N25" s="24" t="n">
        <f aca="false">G25-M25</f>
        <v>104.88</v>
      </c>
      <c r="O25" s="25" t="n">
        <f aca="false">IFERROR(G25/F25,0)</f>
        <v>0.333194221508828</v>
      </c>
      <c r="P25" s="26"/>
    </row>
    <row r="26" customFormat="false" ht="15" hidden="false" customHeight="false" outlineLevel="0" collapsed="false">
      <c r="A26" s="17" t="n">
        <v>46255</v>
      </c>
      <c r="B26" s="18" t="n">
        <v>1663</v>
      </c>
      <c r="C26" s="18" t="n">
        <v>2795</v>
      </c>
      <c r="D26" s="18" t="n">
        <v>0</v>
      </c>
      <c r="E26" s="18" t="n">
        <v>0</v>
      </c>
      <c r="F26" s="19" t="n">
        <f aca="false">B26+C26+D26+E26</f>
        <v>4458</v>
      </c>
      <c r="G26" s="18" t="n">
        <v>1438.27</v>
      </c>
      <c r="H26" s="18" t="n">
        <v>75.67</v>
      </c>
      <c r="I26" s="18" t="n">
        <v>292.89</v>
      </c>
      <c r="J26" s="18" t="n">
        <v>0</v>
      </c>
      <c r="K26" s="18" t="n">
        <v>564.46</v>
      </c>
      <c r="L26" s="18" t="n">
        <v>0</v>
      </c>
      <c r="M26" s="19" t="n">
        <f aca="false">SUM(H26:L26)</f>
        <v>933.02</v>
      </c>
      <c r="N26" s="19" t="n">
        <f aca="false">G26-M26</f>
        <v>505.25</v>
      </c>
      <c r="O26" s="20" t="n">
        <f aca="false">IFERROR(G26/F26,0)</f>
        <v>0.322626738447734</v>
      </c>
      <c r="P26" s="21"/>
    </row>
    <row r="27" customFormat="false" ht="15" hidden="false" customHeight="false" outlineLevel="0" collapsed="false">
      <c r="A27" s="22" t="n">
        <v>46256</v>
      </c>
      <c r="B27" s="23" t="n">
        <v>1934</v>
      </c>
      <c r="C27" s="23" t="n">
        <v>2904</v>
      </c>
      <c r="D27" s="23" t="n">
        <v>0</v>
      </c>
      <c r="E27" s="23" t="n">
        <v>1448</v>
      </c>
      <c r="F27" s="24" t="n">
        <f aca="false">B27+C27+D27+E27</f>
        <v>6286</v>
      </c>
      <c r="G27" s="23" t="n">
        <v>1960.53</v>
      </c>
      <c r="H27" s="23" t="n">
        <v>75.67</v>
      </c>
      <c r="I27" s="23" t="n">
        <v>292.89</v>
      </c>
      <c r="J27" s="23" t="n">
        <v>0</v>
      </c>
      <c r="K27" s="23" t="n">
        <v>564.46</v>
      </c>
      <c r="L27" s="23" t="n">
        <v>0</v>
      </c>
      <c r="M27" s="24" t="n">
        <f aca="false">SUM(H27:L27)</f>
        <v>933.02</v>
      </c>
      <c r="N27" s="24" t="n">
        <f aca="false">G27-M27</f>
        <v>1027.51</v>
      </c>
      <c r="O27" s="25" t="n">
        <f aca="false">IFERROR(G27/F27,0)</f>
        <v>0.311888323258034</v>
      </c>
      <c r="P27" s="26"/>
    </row>
    <row r="28" customFormat="false" ht="15" hidden="false" customHeight="false" outlineLevel="0" collapsed="false">
      <c r="A28" s="17" t="n">
        <v>46257</v>
      </c>
      <c r="B28" s="18" t="n">
        <v>1261</v>
      </c>
      <c r="C28" s="18" t="n">
        <v>2529</v>
      </c>
      <c r="D28" s="18" t="n">
        <v>0</v>
      </c>
      <c r="E28" s="18" t="n">
        <v>0</v>
      </c>
      <c r="F28" s="19" t="n">
        <f aca="false">B28+C28+D28+E28</f>
        <v>3790</v>
      </c>
      <c r="G28" s="18" t="n">
        <v>1301.77</v>
      </c>
      <c r="H28" s="18" t="n">
        <v>75.67</v>
      </c>
      <c r="I28" s="18" t="n">
        <v>292.89</v>
      </c>
      <c r="J28" s="18" t="n">
        <v>0</v>
      </c>
      <c r="K28" s="18" t="n">
        <v>564.46</v>
      </c>
      <c r="L28" s="18" t="n">
        <v>0</v>
      </c>
      <c r="M28" s="19" t="n">
        <f aca="false">SUM(H28:L28)</f>
        <v>933.02</v>
      </c>
      <c r="N28" s="19" t="n">
        <f aca="false">G28-M28</f>
        <v>368.75</v>
      </c>
      <c r="O28" s="20" t="n">
        <f aca="false">IFERROR(G28/F28,0)</f>
        <v>0.343474934036939</v>
      </c>
      <c r="P28" s="21"/>
    </row>
    <row r="29" customFormat="false" ht="15" hidden="false" customHeight="false" outlineLevel="0" collapsed="false">
      <c r="A29" s="22" t="n">
        <v>46258</v>
      </c>
      <c r="B29" s="23" t="n">
        <v>1142</v>
      </c>
      <c r="C29" s="23" t="n">
        <v>2960</v>
      </c>
      <c r="D29" s="23" t="n">
        <v>0</v>
      </c>
      <c r="E29" s="23" t="n">
        <v>0</v>
      </c>
      <c r="F29" s="24" t="n">
        <f aca="false">B29+C29+D29+E29</f>
        <v>4102</v>
      </c>
      <c r="G29" s="23" t="n">
        <v>1459.49</v>
      </c>
      <c r="H29" s="23" t="n">
        <v>75.67</v>
      </c>
      <c r="I29" s="23" t="n">
        <v>292.89</v>
      </c>
      <c r="J29" s="23" t="n">
        <v>0</v>
      </c>
      <c r="K29" s="23" t="n">
        <v>564.46</v>
      </c>
      <c r="L29" s="23" t="n">
        <v>0</v>
      </c>
      <c r="M29" s="24" t="n">
        <f aca="false">SUM(H29:L29)</f>
        <v>933.02</v>
      </c>
      <c r="N29" s="24" t="n">
        <f aca="false">G29-M29</f>
        <v>526.47</v>
      </c>
      <c r="O29" s="25" t="n">
        <f aca="false">IFERROR(G29/F29,0)</f>
        <v>0.355799609946368</v>
      </c>
      <c r="P29" s="26"/>
    </row>
    <row r="30" customFormat="false" ht="15" hidden="false" customHeight="false" outlineLevel="0" collapsed="false">
      <c r="A30" s="17" t="n">
        <v>46259</v>
      </c>
      <c r="B30" s="18" t="n">
        <v>1299</v>
      </c>
      <c r="C30" s="18" t="n">
        <v>2247</v>
      </c>
      <c r="D30" s="18" t="n">
        <v>0</v>
      </c>
      <c r="E30" s="18" t="n">
        <v>0</v>
      </c>
      <c r="F30" s="19" t="n">
        <f aca="false">B30+C30+D30+E30</f>
        <v>3546</v>
      </c>
      <c r="G30" s="18" t="n">
        <v>1076.18</v>
      </c>
      <c r="H30" s="18" t="n">
        <v>75.67</v>
      </c>
      <c r="I30" s="18" t="n">
        <v>292.89</v>
      </c>
      <c r="J30" s="18" t="n">
        <v>0</v>
      </c>
      <c r="K30" s="18" t="n">
        <v>564.46</v>
      </c>
      <c r="L30" s="18" t="n">
        <v>0</v>
      </c>
      <c r="M30" s="19" t="n">
        <f aca="false">SUM(H30:L30)</f>
        <v>933.02</v>
      </c>
      <c r="N30" s="19" t="n">
        <f aca="false">G30-M30</f>
        <v>143.16</v>
      </c>
      <c r="O30" s="20" t="n">
        <f aca="false">IFERROR(G30/F30,0)</f>
        <v>0.303491257755217</v>
      </c>
      <c r="P30" s="21"/>
    </row>
    <row r="31" customFormat="false" ht="15" hidden="false" customHeight="false" outlineLevel="0" collapsed="false">
      <c r="A31" s="22" t="n">
        <v>46260</v>
      </c>
      <c r="B31" s="23" t="n">
        <v>1197</v>
      </c>
      <c r="C31" s="23" t="n">
        <v>2023</v>
      </c>
      <c r="D31" s="23" t="n">
        <v>0</v>
      </c>
      <c r="E31" s="23" t="n">
        <v>0</v>
      </c>
      <c r="F31" s="24" t="n">
        <f aca="false">B31+C31+D31+E31</f>
        <v>3220</v>
      </c>
      <c r="G31" s="23" t="n">
        <v>1065.45</v>
      </c>
      <c r="H31" s="23" t="n">
        <v>75.67</v>
      </c>
      <c r="I31" s="23" t="n">
        <v>292.89</v>
      </c>
      <c r="J31" s="23" t="n">
        <v>0</v>
      </c>
      <c r="K31" s="23" t="n">
        <v>564.46</v>
      </c>
      <c r="L31" s="23" t="n">
        <v>0</v>
      </c>
      <c r="M31" s="24" t="n">
        <f aca="false">SUM(H31:L31)</f>
        <v>933.02</v>
      </c>
      <c r="N31" s="24" t="n">
        <f aca="false">G31-M31</f>
        <v>132.43</v>
      </c>
      <c r="O31" s="25" t="n">
        <f aca="false">IFERROR(G31/F31,0)</f>
        <v>0.330885093167702</v>
      </c>
      <c r="P31" s="26"/>
    </row>
    <row r="32" customFormat="false" ht="15" hidden="false" customHeight="false" outlineLevel="0" collapsed="false">
      <c r="A32" s="17" t="n">
        <v>46261</v>
      </c>
      <c r="B32" s="18" t="n">
        <v>1723</v>
      </c>
      <c r="C32" s="18" t="n">
        <v>2616</v>
      </c>
      <c r="D32" s="18" t="n">
        <v>0</v>
      </c>
      <c r="E32" s="18" t="n">
        <v>0</v>
      </c>
      <c r="F32" s="19" t="n">
        <f aca="false">B32+C32+D32+E32</f>
        <v>4339</v>
      </c>
      <c r="G32" s="18" t="n">
        <v>1473.64</v>
      </c>
      <c r="H32" s="18" t="n">
        <v>75.67</v>
      </c>
      <c r="I32" s="18" t="n">
        <v>292.89</v>
      </c>
      <c r="J32" s="18" t="n">
        <v>75</v>
      </c>
      <c r="K32" s="18" t="n">
        <v>564.46</v>
      </c>
      <c r="L32" s="18" t="n">
        <v>0</v>
      </c>
      <c r="M32" s="19" t="n">
        <f aca="false">SUM(H32:L32)</f>
        <v>1008.02</v>
      </c>
      <c r="N32" s="19" t="n">
        <f aca="false">G32-M32</f>
        <v>465.62</v>
      </c>
      <c r="O32" s="20" t="n">
        <f aca="false">IFERROR(G32/F32,0)</f>
        <v>0.339626642083429</v>
      </c>
      <c r="P32" s="21"/>
    </row>
    <row r="33" customFormat="false" ht="15" hidden="false" customHeight="false" outlineLevel="0" collapsed="false">
      <c r="A33" s="22" t="n">
        <v>46262</v>
      </c>
      <c r="B33" s="23" t="n">
        <v>2240</v>
      </c>
      <c r="C33" s="23" t="n">
        <v>3647</v>
      </c>
      <c r="D33" s="23" t="n">
        <v>0</v>
      </c>
      <c r="E33" s="23" t="n">
        <v>0</v>
      </c>
      <c r="F33" s="24" t="n">
        <f aca="false">B33+C33+D33+E33</f>
        <v>5887</v>
      </c>
      <c r="G33" s="23" t="n">
        <v>2177.81</v>
      </c>
      <c r="H33" s="23" t="n">
        <v>75.67</v>
      </c>
      <c r="I33" s="23" t="n">
        <v>292.89</v>
      </c>
      <c r="J33" s="23" t="n">
        <v>0</v>
      </c>
      <c r="K33" s="23" t="n">
        <v>564.46</v>
      </c>
      <c r="L33" s="23" t="n">
        <v>0</v>
      </c>
      <c r="M33" s="24" t="n">
        <f aca="false">SUM(H33:L33)</f>
        <v>933.02</v>
      </c>
      <c r="N33" s="24" t="n">
        <f aca="false">G33-M33</f>
        <v>1244.79</v>
      </c>
      <c r="O33" s="25" t="n">
        <f aca="false">IFERROR(G33/F33,0)</f>
        <v>0.369935450993715</v>
      </c>
      <c r="P33" s="26"/>
    </row>
    <row r="34" customFormat="false" ht="15" hidden="false" customHeight="false" outlineLevel="0" collapsed="false">
      <c r="A34" s="17" t="n">
        <v>46263</v>
      </c>
      <c r="B34" s="18" t="n">
        <v>2082</v>
      </c>
      <c r="C34" s="18" t="n">
        <v>4455</v>
      </c>
      <c r="D34" s="18" t="n">
        <v>0</v>
      </c>
      <c r="E34" s="18" t="n">
        <v>0</v>
      </c>
      <c r="F34" s="19" t="n">
        <f aca="false">B34+C34+D34+E34</f>
        <v>6537</v>
      </c>
      <c r="G34" s="18" t="n">
        <v>2338.91</v>
      </c>
      <c r="H34" s="18" t="n">
        <v>75.67</v>
      </c>
      <c r="I34" s="18" t="n">
        <v>292.89</v>
      </c>
      <c r="J34" s="18" t="n">
        <v>0</v>
      </c>
      <c r="K34" s="18" t="n">
        <v>564.46</v>
      </c>
      <c r="L34" s="18" t="n">
        <v>0</v>
      </c>
      <c r="M34" s="19" t="n">
        <f aca="false">SUM(H34:L34)</f>
        <v>933.02</v>
      </c>
      <c r="N34" s="19" t="n">
        <f aca="false">G34-M34</f>
        <v>1405.89</v>
      </c>
      <c r="O34" s="20" t="n">
        <f aca="false">IFERROR(G34/F34,0)</f>
        <v>0.35779562490439</v>
      </c>
      <c r="P34" s="21"/>
    </row>
    <row r="35" customFormat="false" ht="15" hidden="false" customHeight="false" outlineLevel="0" collapsed="false">
      <c r="A35" s="22" t="n">
        <v>46264</v>
      </c>
      <c r="B35" s="23" t="n">
        <v>921</v>
      </c>
      <c r="C35" s="23" t="n">
        <v>2450</v>
      </c>
      <c r="D35" s="23" t="n">
        <v>0</v>
      </c>
      <c r="E35" s="23" t="n">
        <v>0</v>
      </c>
      <c r="F35" s="24" t="n">
        <f aca="false">B35+C35+D35+E35</f>
        <v>3371</v>
      </c>
      <c r="G35" s="23" t="n">
        <v>1137.91</v>
      </c>
      <c r="H35" s="23" t="n">
        <v>75.67</v>
      </c>
      <c r="I35" s="23" t="n">
        <v>292.89</v>
      </c>
      <c r="J35" s="23" t="n">
        <v>0</v>
      </c>
      <c r="K35" s="23" t="n">
        <v>564.46</v>
      </c>
      <c r="L35" s="23" t="n">
        <v>0</v>
      </c>
      <c r="M35" s="24" t="n">
        <f aca="false">SUM(H35:L35)</f>
        <v>933.02</v>
      </c>
      <c r="N35" s="24" t="n">
        <f aca="false">G35-M35</f>
        <v>204.89</v>
      </c>
      <c r="O35" s="25" t="n">
        <f aca="false">IFERROR(G35/F35,0)</f>
        <v>0.337558587956096</v>
      </c>
      <c r="P35" s="26"/>
    </row>
    <row r="36" customFormat="false" ht="15" hidden="false" customHeight="false" outlineLevel="0" collapsed="false">
      <c r="A36" s="17" t="n">
        <v>46265</v>
      </c>
      <c r="B36" s="18" t="n">
        <v>1399</v>
      </c>
      <c r="C36" s="18" t="n">
        <v>2553</v>
      </c>
      <c r="D36" s="18" t="n">
        <v>0</v>
      </c>
      <c r="E36" s="18" t="n">
        <v>0</v>
      </c>
      <c r="F36" s="19" t="n">
        <f aca="false">B36+C36+D36+E36</f>
        <v>3952</v>
      </c>
      <c r="G36" s="18" t="n">
        <v>1391.05</v>
      </c>
      <c r="H36" s="18" t="n">
        <v>75.67</v>
      </c>
      <c r="I36" s="18" t="n">
        <v>292.89</v>
      </c>
      <c r="J36" s="18" t="n">
        <v>0</v>
      </c>
      <c r="K36" s="18" t="n">
        <v>564.46</v>
      </c>
      <c r="L36" s="18" t="n">
        <v>0</v>
      </c>
      <c r="M36" s="19" t="n">
        <f aca="false">SUM(H36:L36)</f>
        <v>933.02</v>
      </c>
      <c r="N36" s="19" t="n">
        <f aca="false">G36-M36</f>
        <v>458.03</v>
      </c>
      <c r="O36" s="20" t="n">
        <f aca="false">IFERROR(G36/F36,0)</f>
        <v>0.351986336032389</v>
      </c>
      <c r="P36" s="21"/>
    </row>
    <row r="38" customFormat="false" ht="15" hidden="false" customHeight="false" outlineLevel="0" collapsed="false">
      <c r="A38" s="27" t="s">
        <v>51</v>
      </c>
      <c r="B38" s="28" t="n">
        <f aca="false">SUM(B6:B36)</f>
        <v>43411</v>
      </c>
      <c r="C38" s="28" t="n">
        <f aca="false">SUM(C6:C36)</f>
        <v>87588</v>
      </c>
      <c r="D38" s="28" t="n">
        <f aca="false">SUM(D6:D36)</f>
        <v>-297</v>
      </c>
      <c r="E38" s="28" t="n">
        <f aca="false">SUM(E6:E36)</f>
        <v>1448</v>
      </c>
      <c r="F38" s="28" t="n">
        <f aca="false">SUM(F6:F36)</f>
        <v>132150</v>
      </c>
      <c r="G38" s="28" t="n">
        <f aca="false">SUM(G6:G36)</f>
        <v>44816.26</v>
      </c>
      <c r="H38" s="28" t="n">
        <f aca="false">SUM(H6:H36)</f>
        <v>2345.77</v>
      </c>
      <c r="I38" s="28" t="n">
        <f aca="false">SUM(I6:I36)</f>
        <v>9079.59</v>
      </c>
      <c r="J38" s="28" t="n">
        <f aca="false">SUM(J6:J36)</f>
        <v>75</v>
      </c>
      <c r="K38" s="28" t="n">
        <f aca="false">SUM(K6:K36)</f>
        <v>16933.8</v>
      </c>
      <c r="L38" s="28" t="n">
        <f aca="false">SUM(L6:L36)</f>
        <v>0</v>
      </c>
      <c r="M38" s="28" t="n">
        <f aca="false">SUM(M6:M36)</f>
        <v>28434.16</v>
      </c>
      <c r="N38" s="28" t="n">
        <f aca="false">SUM(N6:N36)</f>
        <v>16382.1</v>
      </c>
      <c r="O38" s="29" t="n">
        <f aca="false">IFERROR(G38/F38,0)</f>
        <v>0.339131744230042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46266</v>
      </c>
      <c r="B6" s="18" t="n">
        <v>1262</v>
      </c>
      <c r="C6" s="18" t="n">
        <v>2700</v>
      </c>
      <c r="D6" s="18" t="n">
        <v>0</v>
      </c>
      <c r="E6" s="18" t="n">
        <v>0</v>
      </c>
      <c r="F6" s="19" t="n">
        <f aca="false">B6+C6+D6+E6</f>
        <v>3962</v>
      </c>
      <c r="G6" s="18" t="n">
        <v>1284.36</v>
      </c>
      <c r="H6" s="18" t="n">
        <v>92.32</v>
      </c>
      <c r="I6" s="18" t="n">
        <v>319.94</v>
      </c>
      <c r="J6" s="18" t="n">
        <v>0</v>
      </c>
      <c r="K6" s="18" t="n">
        <v>638.06</v>
      </c>
      <c r="L6" s="18" t="n">
        <v>0</v>
      </c>
      <c r="M6" s="19" t="n">
        <f aca="false">SUM(H6:L6)</f>
        <v>1050.32</v>
      </c>
      <c r="N6" s="19" t="n">
        <f aca="false">G6-M6</f>
        <v>234.04</v>
      </c>
      <c r="O6" s="20" t="n">
        <f aca="false">IFERROR(G6/F6,0)</f>
        <v>0.32416961130742</v>
      </c>
      <c r="P6" s="21"/>
    </row>
    <row r="7" customFormat="false" ht="15" hidden="false" customHeight="false" outlineLevel="0" collapsed="false">
      <c r="A7" s="22" t="n">
        <v>46267</v>
      </c>
      <c r="B7" s="23" t="n">
        <v>961</v>
      </c>
      <c r="C7" s="23" t="n">
        <v>2653</v>
      </c>
      <c r="D7" s="23" t="n">
        <v>0</v>
      </c>
      <c r="E7" s="23" t="n">
        <v>0</v>
      </c>
      <c r="F7" s="24" t="n">
        <f aca="false">B7+C7+D7+E7</f>
        <v>3614</v>
      </c>
      <c r="G7" s="23" t="n">
        <v>1194.46</v>
      </c>
      <c r="H7" s="23" t="n">
        <v>92.32</v>
      </c>
      <c r="I7" s="23" t="n">
        <v>319.94</v>
      </c>
      <c r="J7" s="23" t="n">
        <v>0</v>
      </c>
      <c r="K7" s="23" t="n">
        <v>638.06</v>
      </c>
      <c r="L7" s="23" t="n">
        <v>0</v>
      </c>
      <c r="M7" s="24" t="n">
        <f aca="false">SUM(H7:L7)</f>
        <v>1050.32</v>
      </c>
      <c r="N7" s="24" t="n">
        <f aca="false">G7-M7</f>
        <v>144.14</v>
      </c>
      <c r="O7" s="25" t="n">
        <f aca="false">IFERROR(G7/F7,0)</f>
        <v>0.330509131156613</v>
      </c>
      <c r="P7" s="26"/>
    </row>
    <row r="8" customFormat="false" ht="15" hidden="false" customHeight="false" outlineLevel="0" collapsed="false">
      <c r="A8" s="17" t="n">
        <v>46268</v>
      </c>
      <c r="B8" s="18" t="n">
        <v>1251</v>
      </c>
      <c r="C8" s="18" t="n">
        <v>2273</v>
      </c>
      <c r="D8" s="18" t="n">
        <v>0</v>
      </c>
      <c r="E8" s="18" t="n">
        <v>0</v>
      </c>
      <c r="F8" s="19" t="n">
        <f aca="false">B8+C8+D8+E8</f>
        <v>3524</v>
      </c>
      <c r="G8" s="18" t="n">
        <v>1063.39</v>
      </c>
      <c r="H8" s="18" t="n">
        <v>92.32</v>
      </c>
      <c r="I8" s="18" t="n">
        <v>319.94</v>
      </c>
      <c r="J8" s="18" t="n">
        <v>0</v>
      </c>
      <c r="K8" s="18" t="n">
        <v>638.06</v>
      </c>
      <c r="L8" s="18" t="n">
        <v>0</v>
      </c>
      <c r="M8" s="19" t="n">
        <f aca="false">SUM(H8:L8)</f>
        <v>1050.32</v>
      </c>
      <c r="N8" s="19" t="n">
        <f aca="false">G8-M8</f>
        <v>13.0700000000002</v>
      </c>
      <c r="O8" s="20" t="n">
        <f aca="false">IFERROR(G8/F8,0)</f>
        <v>0.301756526674234</v>
      </c>
      <c r="P8" s="21"/>
    </row>
    <row r="9" customFormat="false" ht="15" hidden="false" customHeight="false" outlineLevel="0" collapsed="false">
      <c r="A9" s="22" t="n">
        <v>46269</v>
      </c>
      <c r="B9" s="23" t="n">
        <v>868</v>
      </c>
      <c r="C9" s="23" t="n">
        <v>2587</v>
      </c>
      <c r="D9" s="23" t="n">
        <v>0</v>
      </c>
      <c r="E9" s="23" t="n">
        <v>0</v>
      </c>
      <c r="F9" s="24" t="n">
        <f aca="false">B9+C9+D9+E9</f>
        <v>3455</v>
      </c>
      <c r="G9" s="23" t="n">
        <v>1275.6</v>
      </c>
      <c r="H9" s="23" t="n">
        <v>92.32</v>
      </c>
      <c r="I9" s="23" t="n">
        <v>319.94</v>
      </c>
      <c r="J9" s="23" t="n">
        <v>0</v>
      </c>
      <c r="K9" s="23" t="n">
        <v>638.06</v>
      </c>
      <c r="L9" s="23" t="n">
        <v>0</v>
      </c>
      <c r="M9" s="24" t="n">
        <f aca="false">SUM(H9:L9)</f>
        <v>1050.32</v>
      </c>
      <c r="N9" s="24" t="n">
        <f aca="false">G9-M9</f>
        <v>225.28</v>
      </c>
      <c r="O9" s="25" t="n">
        <f aca="false">IFERROR(G9/F9,0)</f>
        <v>0.369204052098408</v>
      </c>
      <c r="P9" s="26"/>
    </row>
    <row r="10" customFormat="false" ht="15" hidden="false" customHeight="false" outlineLevel="0" collapsed="false">
      <c r="A10" s="17" t="n">
        <v>46270</v>
      </c>
      <c r="B10" s="18" t="n">
        <v>1391</v>
      </c>
      <c r="C10" s="18" t="n">
        <v>2206</v>
      </c>
      <c r="D10" s="18" t="n">
        <v>0</v>
      </c>
      <c r="E10" s="18" t="n">
        <v>0</v>
      </c>
      <c r="F10" s="19" t="n">
        <f aca="false">B10+C10+D10+E10</f>
        <v>3597</v>
      </c>
      <c r="G10" s="18" t="n">
        <v>1293.53</v>
      </c>
      <c r="H10" s="18" t="n">
        <v>92.32</v>
      </c>
      <c r="I10" s="18" t="n">
        <v>319.94</v>
      </c>
      <c r="J10" s="18" t="n">
        <v>0</v>
      </c>
      <c r="K10" s="18" t="n">
        <v>638.06</v>
      </c>
      <c r="L10" s="18" t="n">
        <v>0</v>
      </c>
      <c r="M10" s="19" t="n">
        <f aca="false">SUM(H10:L10)</f>
        <v>1050.32</v>
      </c>
      <c r="N10" s="19" t="n">
        <f aca="false">G10-M10</f>
        <v>243.21</v>
      </c>
      <c r="O10" s="20" t="n">
        <f aca="false">IFERROR(G10/F10,0)</f>
        <v>0.359613566861273</v>
      </c>
      <c r="P10" s="21"/>
    </row>
    <row r="11" customFormat="false" ht="15" hidden="false" customHeight="false" outlineLevel="0" collapsed="false">
      <c r="A11" s="22" t="n">
        <v>46271</v>
      </c>
      <c r="B11" s="23" t="n">
        <v>896</v>
      </c>
      <c r="C11" s="23" t="n">
        <v>1550</v>
      </c>
      <c r="D11" s="23" t="n">
        <v>0</v>
      </c>
      <c r="E11" s="23" t="n">
        <v>0</v>
      </c>
      <c r="F11" s="24" t="n">
        <f aca="false">B11+C11+D11+E11</f>
        <v>2446</v>
      </c>
      <c r="G11" s="23" t="n">
        <v>778.83</v>
      </c>
      <c r="H11" s="23" t="n">
        <v>92.32</v>
      </c>
      <c r="I11" s="23" t="n">
        <v>319.94</v>
      </c>
      <c r="J11" s="23" t="n">
        <v>0</v>
      </c>
      <c r="K11" s="23" t="n">
        <v>638.06</v>
      </c>
      <c r="L11" s="23" t="n">
        <v>0</v>
      </c>
      <c r="M11" s="24" t="n">
        <f aca="false">SUM(H11:L11)</f>
        <v>1050.32</v>
      </c>
      <c r="N11" s="24" t="n">
        <f aca="false">G11-M11</f>
        <v>-271.49</v>
      </c>
      <c r="O11" s="25" t="n">
        <f aca="false">IFERROR(G11/F11,0)</f>
        <v>0.31840964840556</v>
      </c>
      <c r="P11" s="26"/>
    </row>
    <row r="12" customFormat="false" ht="15" hidden="false" customHeight="false" outlineLevel="0" collapsed="false">
      <c r="A12" s="17" t="n">
        <v>46272</v>
      </c>
      <c r="B12" s="18" t="n">
        <v>681</v>
      </c>
      <c r="C12" s="18" t="n">
        <v>1764</v>
      </c>
      <c r="D12" s="18" t="n">
        <v>0</v>
      </c>
      <c r="E12" s="18" t="n">
        <v>0</v>
      </c>
      <c r="F12" s="19" t="n">
        <f aca="false">B12+C12+D12+E12</f>
        <v>2445</v>
      </c>
      <c r="G12" s="18" t="n">
        <v>782.52</v>
      </c>
      <c r="H12" s="18" t="n">
        <v>92.32</v>
      </c>
      <c r="I12" s="18" t="n">
        <v>319.94</v>
      </c>
      <c r="J12" s="18" t="n">
        <v>0</v>
      </c>
      <c r="K12" s="18" t="n">
        <v>638.06</v>
      </c>
      <c r="L12" s="18" t="n">
        <v>0</v>
      </c>
      <c r="M12" s="19" t="n">
        <f aca="false">SUM(H12:L12)</f>
        <v>1050.32</v>
      </c>
      <c r="N12" s="19" t="n">
        <f aca="false">G12-M12</f>
        <v>-267.8</v>
      </c>
      <c r="O12" s="20" t="n">
        <f aca="false">IFERROR(G12/F12,0)</f>
        <v>0.320049079754601</v>
      </c>
      <c r="P12" s="21"/>
    </row>
    <row r="13" customFormat="false" ht="15" hidden="false" customHeight="false" outlineLevel="0" collapsed="false">
      <c r="A13" s="22" t="n">
        <v>46273</v>
      </c>
      <c r="B13" s="23" t="n">
        <v>1027</v>
      </c>
      <c r="C13" s="23" t="n">
        <v>1890</v>
      </c>
      <c r="D13" s="23" t="n">
        <v>0</v>
      </c>
      <c r="E13" s="23" t="n">
        <v>0</v>
      </c>
      <c r="F13" s="24" t="n">
        <f aca="false">B13+C13+D13+E13</f>
        <v>2917</v>
      </c>
      <c r="G13" s="23" t="n">
        <v>907.02</v>
      </c>
      <c r="H13" s="23" t="n">
        <v>92.32</v>
      </c>
      <c r="I13" s="23" t="n">
        <v>319.94</v>
      </c>
      <c r="J13" s="23" t="n">
        <v>94</v>
      </c>
      <c r="K13" s="23" t="n">
        <v>638.06</v>
      </c>
      <c r="L13" s="23" t="n">
        <v>79</v>
      </c>
      <c r="M13" s="24" t="n">
        <f aca="false">SUM(H13:L13)</f>
        <v>1223.32</v>
      </c>
      <c r="N13" s="24" t="n">
        <f aca="false">G13-M13</f>
        <v>-316.3</v>
      </c>
      <c r="O13" s="25" t="n">
        <f aca="false">IFERROR(G13/F13,0)</f>
        <v>0.310942749400069</v>
      </c>
      <c r="P13" s="26"/>
    </row>
    <row r="14" customFormat="false" ht="15" hidden="false" customHeight="false" outlineLevel="0" collapsed="false">
      <c r="A14" s="17" t="n">
        <v>46274</v>
      </c>
      <c r="B14" s="18" t="n">
        <v>634</v>
      </c>
      <c r="C14" s="18" t="n">
        <v>1854</v>
      </c>
      <c r="D14" s="18" t="n">
        <v>0</v>
      </c>
      <c r="E14" s="18" t="n">
        <v>0</v>
      </c>
      <c r="F14" s="19" t="n">
        <f aca="false">B14+C14+D14+E14</f>
        <v>2488</v>
      </c>
      <c r="G14" s="18" t="n">
        <v>819.02</v>
      </c>
      <c r="H14" s="18" t="n">
        <v>92.32</v>
      </c>
      <c r="I14" s="18" t="n">
        <v>319.94</v>
      </c>
      <c r="J14" s="18" t="n">
        <v>136</v>
      </c>
      <c r="K14" s="18" t="n">
        <v>638.06</v>
      </c>
      <c r="L14" s="18" t="n">
        <v>0</v>
      </c>
      <c r="M14" s="19" t="n">
        <f aca="false">SUM(H14:L14)</f>
        <v>1186.32</v>
      </c>
      <c r="N14" s="19" t="n">
        <f aca="false">G14-M14</f>
        <v>-367.3</v>
      </c>
      <c r="O14" s="20" t="n">
        <f aca="false">IFERROR(G14/F14,0)</f>
        <v>0.329188102893891</v>
      </c>
      <c r="P14" s="21"/>
    </row>
    <row r="15" customFormat="false" ht="15" hidden="false" customHeight="false" outlineLevel="0" collapsed="false">
      <c r="A15" s="22" t="n">
        <v>46275</v>
      </c>
      <c r="B15" s="23" t="n">
        <v>928</v>
      </c>
      <c r="C15" s="23" t="n">
        <v>2043</v>
      </c>
      <c r="D15" s="23" t="n">
        <v>0</v>
      </c>
      <c r="E15" s="23" t="n">
        <v>0</v>
      </c>
      <c r="F15" s="24" t="n">
        <f aca="false">B15+C15+D15+E15</f>
        <v>2971</v>
      </c>
      <c r="G15" s="23" t="n">
        <v>939.02</v>
      </c>
      <c r="H15" s="23" t="n">
        <v>92.32</v>
      </c>
      <c r="I15" s="23" t="n">
        <v>319.94</v>
      </c>
      <c r="J15" s="23" t="n">
        <v>0</v>
      </c>
      <c r="K15" s="23" t="n">
        <v>638.06</v>
      </c>
      <c r="L15" s="23" t="n">
        <v>0</v>
      </c>
      <c r="M15" s="24" t="n">
        <f aca="false">SUM(H15:L15)</f>
        <v>1050.32</v>
      </c>
      <c r="N15" s="24" t="n">
        <f aca="false">G15-M15</f>
        <v>-111.3</v>
      </c>
      <c r="O15" s="25" t="n">
        <f aca="false">IFERROR(G15/F15,0)</f>
        <v>0.316061932009424</v>
      </c>
      <c r="P15" s="26"/>
    </row>
    <row r="16" customFormat="false" ht="15" hidden="false" customHeight="false" outlineLevel="0" collapsed="false">
      <c r="A16" s="17" t="n">
        <v>46276</v>
      </c>
      <c r="B16" s="18" t="n">
        <v>1270</v>
      </c>
      <c r="C16" s="18" t="n">
        <v>2897</v>
      </c>
      <c r="D16" s="18" t="n">
        <v>0</v>
      </c>
      <c r="E16" s="18" t="n">
        <v>0</v>
      </c>
      <c r="F16" s="19" t="n">
        <f aca="false">B16+C16+D16+E16</f>
        <v>4167</v>
      </c>
      <c r="G16" s="18" t="n">
        <v>1417.38</v>
      </c>
      <c r="H16" s="18" t="n">
        <v>92.32</v>
      </c>
      <c r="I16" s="18" t="n">
        <v>319.94</v>
      </c>
      <c r="J16" s="18" t="n">
        <v>0</v>
      </c>
      <c r="K16" s="18" t="n">
        <v>638.06</v>
      </c>
      <c r="L16" s="18" t="n">
        <v>0</v>
      </c>
      <c r="M16" s="19" t="n">
        <f aca="false">SUM(H16:L16)</f>
        <v>1050.32</v>
      </c>
      <c r="N16" s="19" t="n">
        <f aca="false">G16-M16</f>
        <v>367.06</v>
      </c>
      <c r="O16" s="20" t="n">
        <f aca="false">IFERROR(G16/F16,0)</f>
        <v>0.340143988480922</v>
      </c>
      <c r="P16" s="21"/>
    </row>
    <row r="17" customFormat="false" ht="15" hidden="false" customHeight="false" outlineLevel="0" collapsed="false">
      <c r="A17" s="22" t="n">
        <v>46277</v>
      </c>
      <c r="B17" s="23" t="n">
        <v>1457</v>
      </c>
      <c r="C17" s="23" t="n">
        <v>2308</v>
      </c>
      <c r="D17" s="23" t="n">
        <v>-2466</v>
      </c>
      <c r="E17" s="23" t="n">
        <v>0</v>
      </c>
      <c r="F17" s="24" t="n">
        <f aca="false">B17+C17+D17+E17</f>
        <v>1299</v>
      </c>
      <c r="G17" s="23" t="n">
        <v>490.23</v>
      </c>
      <c r="H17" s="23" t="n">
        <v>92.32</v>
      </c>
      <c r="I17" s="23" t="n">
        <v>319.94</v>
      </c>
      <c r="J17" s="23" t="n">
        <v>0</v>
      </c>
      <c r="K17" s="23" t="n">
        <v>638.06</v>
      </c>
      <c r="L17" s="23" t="n">
        <v>0</v>
      </c>
      <c r="M17" s="24" t="n">
        <f aca="false">SUM(H17:L17)</f>
        <v>1050.32</v>
      </c>
      <c r="N17" s="24" t="n">
        <f aca="false">G17-M17</f>
        <v>-560.09</v>
      </c>
      <c r="O17" s="25" t="n">
        <f aca="false">IFERROR(G17/F17,0)</f>
        <v>0.377390300230947</v>
      </c>
      <c r="P17" s="26"/>
    </row>
    <row r="18" customFormat="false" ht="15" hidden="false" customHeight="false" outlineLevel="0" collapsed="false">
      <c r="A18" s="17" t="n">
        <v>46278</v>
      </c>
      <c r="B18" s="18" t="n">
        <v>963</v>
      </c>
      <c r="C18" s="18" t="n">
        <v>1636</v>
      </c>
      <c r="D18" s="18" t="n">
        <v>0</v>
      </c>
      <c r="E18" s="18" t="n">
        <v>0</v>
      </c>
      <c r="F18" s="19" t="n">
        <f aca="false">B18+C18+D18+E18</f>
        <v>2599</v>
      </c>
      <c r="G18" s="18" t="n">
        <v>877.08</v>
      </c>
      <c r="H18" s="18" t="n">
        <v>92.32</v>
      </c>
      <c r="I18" s="18" t="n">
        <v>319.94</v>
      </c>
      <c r="J18" s="18" t="n">
        <v>113</v>
      </c>
      <c r="K18" s="18" t="n">
        <v>638.06</v>
      </c>
      <c r="L18" s="18" t="n">
        <v>0</v>
      </c>
      <c r="M18" s="19" t="n">
        <f aca="false">SUM(H18:L18)</f>
        <v>1163.32</v>
      </c>
      <c r="N18" s="19" t="n">
        <f aca="false">G18-M18</f>
        <v>-286.24</v>
      </c>
      <c r="O18" s="20" t="n">
        <f aca="false">IFERROR(G18/F18,0)</f>
        <v>0.337468257021932</v>
      </c>
      <c r="P18" s="21"/>
    </row>
    <row r="19" customFormat="false" ht="15" hidden="false" customHeight="false" outlineLevel="0" collapsed="false">
      <c r="A19" s="22" t="n">
        <v>46279</v>
      </c>
      <c r="B19" s="23" t="n">
        <v>0</v>
      </c>
      <c r="C19" s="23" t="n">
        <v>0</v>
      </c>
      <c r="D19" s="23" t="n">
        <v>0</v>
      </c>
      <c r="E19" s="23" t="n">
        <v>0</v>
      </c>
      <c r="F19" s="24" t="n">
        <f aca="false">B19+C19+D19+E19</f>
        <v>0</v>
      </c>
      <c r="G19" s="23" t="n">
        <v>0</v>
      </c>
      <c r="H19" s="23" t="n">
        <v>92.32</v>
      </c>
      <c r="I19" s="23" t="n">
        <v>319.94</v>
      </c>
      <c r="J19" s="23" t="n">
        <v>0</v>
      </c>
      <c r="K19" s="23" t="n">
        <v>0</v>
      </c>
      <c r="L19" s="23" t="n">
        <v>0</v>
      </c>
      <c r="M19" s="24" t="n">
        <f aca="false">SUM(H19:L19)</f>
        <v>412.26</v>
      </c>
      <c r="N19" s="24" t="n">
        <f aca="false">G19-M19</f>
        <v>-412.26</v>
      </c>
      <c r="O19" s="25" t="n">
        <f aca="false">IFERROR(G19/F19,0)</f>
        <v>0</v>
      </c>
      <c r="P19" s="26" t="s">
        <v>50</v>
      </c>
    </row>
    <row r="20" customFormat="false" ht="15" hidden="false" customHeight="false" outlineLevel="0" collapsed="false">
      <c r="A20" s="17" t="n">
        <v>46280</v>
      </c>
      <c r="B20" s="18" t="n">
        <v>1012</v>
      </c>
      <c r="C20" s="18" t="n">
        <v>1674</v>
      </c>
      <c r="D20" s="18" t="n">
        <v>0</v>
      </c>
      <c r="E20" s="18" t="n">
        <v>0</v>
      </c>
      <c r="F20" s="19" t="n">
        <f aca="false">B20+C20+D20+E20</f>
        <v>2686</v>
      </c>
      <c r="G20" s="18" t="n">
        <v>925.56</v>
      </c>
      <c r="H20" s="18" t="n">
        <v>92.32</v>
      </c>
      <c r="I20" s="18" t="n">
        <v>319.94</v>
      </c>
      <c r="J20" s="18" t="n">
        <v>59</v>
      </c>
      <c r="K20" s="18" t="n">
        <v>638.06</v>
      </c>
      <c r="L20" s="18" t="n">
        <v>0</v>
      </c>
      <c r="M20" s="19" t="n">
        <f aca="false">SUM(H20:L20)</f>
        <v>1109.32</v>
      </c>
      <c r="N20" s="19" t="n">
        <f aca="false">G20-M20</f>
        <v>-183.76</v>
      </c>
      <c r="O20" s="20" t="n">
        <f aca="false">IFERROR(G20/F20,0)</f>
        <v>0.344586746090841</v>
      </c>
      <c r="P20" s="21"/>
    </row>
    <row r="21" customFormat="false" ht="15" hidden="false" customHeight="false" outlineLevel="0" collapsed="false">
      <c r="A21" s="22" t="n">
        <v>46281</v>
      </c>
      <c r="B21" s="23" t="n">
        <v>719</v>
      </c>
      <c r="C21" s="23" t="n">
        <v>1959</v>
      </c>
      <c r="D21" s="23" t="n">
        <v>0</v>
      </c>
      <c r="E21" s="23" t="n">
        <v>0</v>
      </c>
      <c r="F21" s="24" t="n">
        <f aca="false">B21+C21+D21+E21</f>
        <v>2678</v>
      </c>
      <c r="G21" s="23" t="n">
        <v>882.37</v>
      </c>
      <c r="H21" s="23" t="n">
        <v>92.32</v>
      </c>
      <c r="I21" s="23" t="n">
        <v>319.94</v>
      </c>
      <c r="J21" s="23" t="n">
        <v>0</v>
      </c>
      <c r="K21" s="23" t="n">
        <v>638.06</v>
      </c>
      <c r="L21" s="23" t="n">
        <v>0</v>
      </c>
      <c r="M21" s="24" t="n">
        <f aca="false">SUM(H21:L21)</f>
        <v>1050.32</v>
      </c>
      <c r="N21" s="24" t="n">
        <f aca="false">G21-M21</f>
        <v>-167.95</v>
      </c>
      <c r="O21" s="25" t="n">
        <f aca="false">IFERROR(G21/F21,0)</f>
        <v>0.329488424197162</v>
      </c>
      <c r="P21" s="26"/>
    </row>
    <row r="22" customFormat="false" ht="15" hidden="false" customHeight="false" outlineLevel="0" collapsed="false">
      <c r="A22" s="17" t="n">
        <v>46282</v>
      </c>
      <c r="B22" s="18" t="n">
        <v>1036</v>
      </c>
      <c r="C22" s="18" t="n">
        <v>2337</v>
      </c>
      <c r="D22" s="18" t="n">
        <v>0</v>
      </c>
      <c r="E22" s="18" t="n">
        <v>0</v>
      </c>
      <c r="F22" s="19" t="n">
        <f aca="false">B22+C22+D22+E22</f>
        <v>3373</v>
      </c>
      <c r="G22" s="18" t="n">
        <v>1184.21</v>
      </c>
      <c r="H22" s="18" t="n">
        <v>92.32</v>
      </c>
      <c r="I22" s="18" t="n">
        <v>319.94</v>
      </c>
      <c r="J22" s="18" t="n">
        <v>0</v>
      </c>
      <c r="K22" s="18" t="n">
        <v>638.06</v>
      </c>
      <c r="L22" s="18" t="n">
        <v>0</v>
      </c>
      <c r="M22" s="19" t="n">
        <f aca="false">SUM(H22:L22)</f>
        <v>1050.32</v>
      </c>
      <c r="N22" s="19" t="n">
        <f aca="false">G22-M22</f>
        <v>133.89</v>
      </c>
      <c r="O22" s="20" t="n">
        <f aca="false">IFERROR(G22/F22,0)</f>
        <v>0.351085087459235</v>
      </c>
      <c r="P22" s="21"/>
    </row>
    <row r="23" customFormat="false" ht="15" hidden="false" customHeight="false" outlineLevel="0" collapsed="false">
      <c r="A23" s="22" t="n">
        <v>46283</v>
      </c>
      <c r="B23" s="23" t="n">
        <v>1303</v>
      </c>
      <c r="C23" s="23" t="n">
        <v>2760</v>
      </c>
      <c r="D23" s="23" t="n">
        <v>0</v>
      </c>
      <c r="E23" s="23" t="n">
        <v>0</v>
      </c>
      <c r="F23" s="24" t="n">
        <f aca="false">B23+C23+D23+E23</f>
        <v>4063</v>
      </c>
      <c r="G23" s="23" t="n">
        <v>1420.28</v>
      </c>
      <c r="H23" s="23" t="n">
        <v>92.32</v>
      </c>
      <c r="I23" s="23" t="n">
        <v>319.94</v>
      </c>
      <c r="J23" s="23" t="n">
        <v>0</v>
      </c>
      <c r="K23" s="23" t="n">
        <v>638.06</v>
      </c>
      <c r="L23" s="23" t="n">
        <v>0</v>
      </c>
      <c r="M23" s="24" t="n">
        <f aca="false">SUM(H23:L23)</f>
        <v>1050.32</v>
      </c>
      <c r="N23" s="24" t="n">
        <f aca="false">G23-M23</f>
        <v>369.96</v>
      </c>
      <c r="O23" s="25" t="n">
        <f aca="false">IFERROR(G23/F23,0)</f>
        <v>0.349564361309377</v>
      </c>
      <c r="P23" s="26"/>
    </row>
    <row r="24" customFormat="false" ht="15" hidden="false" customHeight="false" outlineLevel="0" collapsed="false">
      <c r="A24" s="17" t="n">
        <v>46284</v>
      </c>
      <c r="B24" s="18" t="n">
        <v>1609</v>
      </c>
      <c r="C24" s="18" t="n">
        <v>3103</v>
      </c>
      <c r="D24" s="18" t="n">
        <v>0</v>
      </c>
      <c r="E24" s="18" t="n">
        <v>0</v>
      </c>
      <c r="F24" s="19" t="n">
        <f aca="false">B24+C24+D24+E24</f>
        <v>4712</v>
      </c>
      <c r="G24" s="18" t="n">
        <v>1657.74</v>
      </c>
      <c r="H24" s="18" t="n">
        <v>92.32</v>
      </c>
      <c r="I24" s="18" t="n">
        <v>319.94</v>
      </c>
      <c r="J24" s="18" t="n">
        <v>0</v>
      </c>
      <c r="K24" s="18" t="n">
        <v>638.06</v>
      </c>
      <c r="L24" s="18" t="n">
        <v>0</v>
      </c>
      <c r="M24" s="19" t="n">
        <f aca="false">SUM(H24:L24)</f>
        <v>1050.32</v>
      </c>
      <c r="N24" s="19" t="n">
        <f aca="false">G24-M24</f>
        <v>607.42</v>
      </c>
      <c r="O24" s="20" t="n">
        <f aca="false">IFERROR(G24/F24,0)</f>
        <v>0.351812393887946</v>
      </c>
      <c r="P24" s="21"/>
    </row>
    <row r="25" customFormat="false" ht="15" hidden="false" customHeight="false" outlineLevel="0" collapsed="false">
      <c r="A25" s="22" t="n">
        <v>46285</v>
      </c>
      <c r="B25" s="23" t="n">
        <v>964</v>
      </c>
      <c r="C25" s="23" t="n">
        <v>1751</v>
      </c>
      <c r="D25" s="23" t="n">
        <v>0</v>
      </c>
      <c r="E25" s="23" t="n">
        <v>0</v>
      </c>
      <c r="F25" s="24" t="n">
        <f aca="false">B25+C25+D25+E25</f>
        <v>2715</v>
      </c>
      <c r="G25" s="23" t="n">
        <v>955.51</v>
      </c>
      <c r="H25" s="23" t="n">
        <v>92.32</v>
      </c>
      <c r="I25" s="23" t="n">
        <v>319.94</v>
      </c>
      <c r="J25" s="23" t="n">
        <v>7</v>
      </c>
      <c r="K25" s="23" t="n">
        <v>638.06</v>
      </c>
      <c r="L25" s="23" t="n">
        <v>100</v>
      </c>
      <c r="M25" s="24" t="n">
        <f aca="false">SUM(H25:L25)</f>
        <v>1157.32</v>
      </c>
      <c r="N25" s="24" t="n">
        <f aca="false">G25-M25</f>
        <v>-201.81</v>
      </c>
      <c r="O25" s="25" t="n">
        <f aca="false">IFERROR(G25/F25,0)</f>
        <v>0.351937384898711</v>
      </c>
      <c r="P25" s="26"/>
    </row>
    <row r="26" customFormat="false" ht="15" hidden="false" customHeight="false" outlineLevel="0" collapsed="false">
      <c r="A26" s="17" t="n">
        <v>46286</v>
      </c>
      <c r="B26" s="18" t="n">
        <v>891</v>
      </c>
      <c r="C26" s="18" t="n">
        <v>2440</v>
      </c>
      <c r="D26" s="18" t="n">
        <v>0</v>
      </c>
      <c r="E26" s="18" t="n">
        <v>772</v>
      </c>
      <c r="F26" s="19" t="n">
        <f aca="false">B26+C26+D26+E26</f>
        <v>4103</v>
      </c>
      <c r="G26" s="18" t="n">
        <v>1407.34</v>
      </c>
      <c r="H26" s="18" t="n">
        <v>92.32</v>
      </c>
      <c r="I26" s="18" t="n">
        <v>319.94</v>
      </c>
      <c r="J26" s="18" t="n">
        <v>0</v>
      </c>
      <c r="K26" s="18" t="n">
        <v>638.06</v>
      </c>
      <c r="L26" s="18" t="n">
        <v>0</v>
      </c>
      <c r="M26" s="19" t="n">
        <f aca="false">SUM(H26:L26)</f>
        <v>1050.32</v>
      </c>
      <c r="N26" s="19" t="n">
        <f aca="false">G26-M26</f>
        <v>357.02</v>
      </c>
      <c r="O26" s="20" t="n">
        <f aca="false">IFERROR(G26/F26,0)</f>
        <v>0.343002680965147</v>
      </c>
      <c r="P26" s="21"/>
    </row>
    <row r="27" customFormat="false" ht="15" hidden="false" customHeight="false" outlineLevel="0" collapsed="false">
      <c r="A27" s="22" t="n">
        <v>46287</v>
      </c>
      <c r="B27" s="23" t="n">
        <v>1087</v>
      </c>
      <c r="C27" s="23" t="n">
        <v>1683</v>
      </c>
      <c r="D27" s="23" t="n">
        <v>0</v>
      </c>
      <c r="E27" s="23" t="n">
        <v>0</v>
      </c>
      <c r="F27" s="24" t="n">
        <f aca="false">B27+C27+D27+E27</f>
        <v>2770</v>
      </c>
      <c r="G27" s="23" t="n">
        <v>985.34</v>
      </c>
      <c r="H27" s="23" t="n">
        <v>92.32</v>
      </c>
      <c r="I27" s="23" t="n">
        <v>319.94</v>
      </c>
      <c r="J27" s="23" t="n">
        <v>0</v>
      </c>
      <c r="K27" s="23" t="n">
        <v>638.06</v>
      </c>
      <c r="L27" s="23" t="n">
        <v>0</v>
      </c>
      <c r="M27" s="24" t="n">
        <f aca="false">SUM(H27:L27)</f>
        <v>1050.32</v>
      </c>
      <c r="N27" s="24" t="n">
        <f aca="false">G27-M27</f>
        <v>-64.9799999999999</v>
      </c>
      <c r="O27" s="25" t="n">
        <f aca="false">IFERROR(G27/F27,0)</f>
        <v>0.355718411552347</v>
      </c>
      <c r="P27" s="26"/>
    </row>
    <row r="28" customFormat="false" ht="15" hidden="false" customHeight="false" outlineLevel="0" collapsed="false">
      <c r="A28" s="17" t="n">
        <v>46288</v>
      </c>
      <c r="B28" s="18" t="n">
        <v>1227</v>
      </c>
      <c r="C28" s="18" t="n">
        <v>2191</v>
      </c>
      <c r="D28" s="18" t="n">
        <v>0</v>
      </c>
      <c r="E28" s="18" t="n">
        <v>0</v>
      </c>
      <c r="F28" s="19" t="n">
        <f aca="false">B28+C28+D28+E28</f>
        <v>3418</v>
      </c>
      <c r="G28" s="18" t="n">
        <v>1267.51</v>
      </c>
      <c r="H28" s="18" t="n">
        <v>92.32</v>
      </c>
      <c r="I28" s="18" t="n">
        <v>319.94</v>
      </c>
      <c r="J28" s="18" t="n">
        <v>0</v>
      </c>
      <c r="K28" s="18" t="n">
        <v>638.06</v>
      </c>
      <c r="L28" s="18" t="n">
        <v>0</v>
      </c>
      <c r="M28" s="19" t="n">
        <f aca="false">SUM(H28:L28)</f>
        <v>1050.32</v>
      </c>
      <c r="N28" s="19" t="n">
        <f aca="false">G28-M28</f>
        <v>217.19</v>
      </c>
      <c r="O28" s="20" t="n">
        <f aca="false">IFERROR(G28/F28,0)</f>
        <v>0.370833820947923</v>
      </c>
      <c r="P28" s="21"/>
    </row>
    <row r="29" customFormat="false" ht="15" hidden="false" customHeight="false" outlineLevel="0" collapsed="false">
      <c r="A29" s="22" t="n">
        <v>46289</v>
      </c>
      <c r="B29" s="23" t="n">
        <v>1073</v>
      </c>
      <c r="C29" s="23" t="n">
        <v>2060</v>
      </c>
      <c r="D29" s="23" t="n">
        <v>0</v>
      </c>
      <c r="E29" s="23" t="n">
        <v>0</v>
      </c>
      <c r="F29" s="24" t="n">
        <f aca="false">B29+C29+D29+E29</f>
        <v>3133</v>
      </c>
      <c r="G29" s="23" t="n">
        <v>1175.26</v>
      </c>
      <c r="H29" s="23" t="n">
        <v>92.32</v>
      </c>
      <c r="I29" s="23" t="n">
        <v>319.94</v>
      </c>
      <c r="J29" s="23" t="n">
        <v>0</v>
      </c>
      <c r="K29" s="23" t="n">
        <v>638.06</v>
      </c>
      <c r="L29" s="23" t="n">
        <v>0</v>
      </c>
      <c r="M29" s="24" t="n">
        <f aca="false">SUM(H29:L29)</f>
        <v>1050.32</v>
      </c>
      <c r="N29" s="24" t="n">
        <f aca="false">G29-M29</f>
        <v>124.94</v>
      </c>
      <c r="O29" s="25" t="n">
        <f aca="false">IFERROR(G29/F29,0)</f>
        <v>0.375122885413342</v>
      </c>
      <c r="P29" s="26"/>
    </row>
    <row r="30" customFormat="false" ht="15" hidden="false" customHeight="false" outlineLevel="0" collapsed="false">
      <c r="A30" s="17" t="n">
        <v>46290</v>
      </c>
      <c r="B30" s="18" t="n">
        <v>1322</v>
      </c>
      <c r="C30" s="18" t="n">
        <v>3355</v>
      </c>
      <c r="D30" s="18" t="n">
        <v>0</v>
      </c>
      <c r="E30" s="18" t="n">
        <v>0</v>
      </c>
      <c r="F30" s="19" t="n">
        <f aca="false">B30+C30+D30+E30</f>
        <v>4677</v>
      </c>
      <c r="G30" s="18" t="n">
        <v>1569.49</v>
      </c>
      <c r="H30" s="18" t="n">
        <v>92.32</v>
      </c>
      <c r="I30" s="18" t="n">
        <v>319.94</v>
      </c>
      <c r="J30" s="18" t="n">
        <v>0</v>
      </c>
      <c r="K30" s="18" t="n">
        <v>638.06</v>
      </c>
      <c r="L30" s="18" t="n">
        <v>0</v>
      </c>
      <c r="M30" s="19" t="n">
        <f aca="false">SUM(H30:L30)</f>
        <v>1050.32</v>
      </c>
      <c r="N30" s="19" t="n">
        <f aca="false">G30-M30</f>
        <v>519.17</v>
      </c>
      <c r="O30" s="20" t="n">
        <f aca="false">IFERROR(G30/F30,0)</f>
        <v>0.335576224075262</v>
      </c>
      <c r="P30" s="21"/>
    </row>
    <row r="31" customFormat="false" ht="15" hidden="false" customHeight="false" outlineLevel="0" collapsed="false">
      <c r="A31" s="22" t="n">
        <v>46291</v>
      </c>
      <c r="B31" s="23" t="n">
        <v>2056</v>
      </c>
      <c r="C31" s="23" t="n">
        <v>3122</v>
      </c>
      <c r="D31" s="23" t="n">
        <v>0</v>
      </c>
      <c r="E31" s="23" t="n">
        <v>0</v>
      </c>
      <c r="F31" s="24" t="n">
        <f aca="false">B31+C31+D31+E31</f>
        <v>5178</v>
      </c>
      <c r="G31" s="23" t="n">
        <v>1705.56</v>
      </c>
      <c r="H31" s="23" t="n">
        <v>92.32</v>
      </c>
      <c r="I31" s="23" t="n">
        <v>319.94</v>
      </c>
      <c r="J31" s="23" t="n">
        <v>0</v>
      </c>
      <c r="K31" s="23" t="n">
        <v>638.06</v>
      </c>
      <c r="L31" s="23" t="n">
        <v>0</v>
      </c>
      <c r="M31" s="24" t="n">
        <f aca="false">SUM(H31:L31)</f>
        <v>1050.32</v>
      </c>
      <c r="N31" s="24" t="n">
        <f aca="false">G31-M31</f>
        <v>655.24</v>
      </c>
      <c r="O31" s="25" t="n">
        <f aca="false">IFERROR(G31/F31,0)</f>
        <v>0.329385863267671</v>
      </c>
      <c r="P31" s="26"/>
    </row>
    <row r="32" customFormat="false" ht="15" hidden="false" customHeight="false" outlineLevel="0" collapsed="false">
      <c r="A32" s="17" t="n">
        <v>46292</v>
      </c>
      <c r="B32" s="18" t="n">
        <v>692</v>
      </c>
      <c r="C32" s="18" t="n">
        <v>1979</v>
      </c>
      <c r="D32" s="18" t="n">
        <v>0</v>
      </c>
      <c r="E32" s="18" t="n">
        <v>0</v>
      </c>
      <c r="F32" s="19" t="n">
        <f aca="false">B32+C32+D32+E32</f>
        <v>2671</v>
      </c>
      <c r="G32" s="18" t="n">
        <v>860.25</v>
      </c>
      <c r="H32" s="18" t="n">
        <v>92.32</v>
      </c>
      <c r="I32" s="18" t="n">
        <v>319.94</v>
      </c>
      <c r="J32" s="18" t="n">
        <v>0</v>
      </c>
      <c r="K32" s="18" t="n">
        <v>638.06</v>
      </c>
      <c r="L32" s="18" t="n">
        <v>0</v>
      </c>
      <c r="M32" s="19" t="n">
        <f aca="false">SUM(H32:L32)</f>
        <v>1050.32</v>
      </c>
      <c r="N32" s="19" t="n">
        <f aca="false">G32-M32</f>
        <v>-190.07</v>
      </c>
      <c r="O32" s="20" t="n">
        <f aca="false">IFERROR(G32/F32,0)</f>
        <v>0.322070385623362</v>
      </c>
      <c r="P32" s="21"/>
    </row>
    <row r="33" customFormat="false" ht="15" hidden="false" customHeight="false" outlineLevel="0" collapsed="false">
      <c r="A33" s="22" t="n">
        <v>46293</v>
      </c>
      <c r="B33" s="23" t="n">
        <v>1068</v>
      </c>
      <c r="C33" s="23" t="n">
        <v>1790</v>
      </c>
      <c r="D33" s="23" t="n">
        <v>0</v>
      </c>
      <c r="E33" s="23" t="n">
        <v>0</v>
      </c>
      <c r="F33" s="24" t="n">
        <f aca="false">B33+C33+D33+E33</f>
        <v>2858</v>
      </c>
      <c r="G33" s="23" t="n">
        <v>878.36</v>
      </c>
      <c r="H33" s="23" t="n">
        <v>92.32</v>
      </c>
      <c r="I33" s="23" t="n">
        <v>319.94</v>
      </c>
      <c r="J33" s="23" t="n">
        <v>0</v>
      </c>
      <c r="K33" s="23" t="n">
        <v>638.06</v>
      </c>
      <c r="L33" s="23" t="n">
        <v>0</v>
      </c>
      <c r="M33" s="24" t="n">
        <f aca="false">SUM(H33:L33)</f>
        <v>1050.32</v>
      </c>
      <c r="N33" s="24" t="n">
        <f aca="false">G33-M33</f>
        <v>-171.96</v>
      </c>
      <c r="O33" s="25" t="n">
        <f aca="false">IFERROR(G33/F33,0)</f>
        <v>0.307333799860042</v>
      </c>
      <c r="P33" s="26"/>
    </row>
    <row r="34" customFormat="false" ht="15" hidden="false" customHeight="false" outlineLevel="0" collapsed="false">
      <c r="A34" s="17" t="n">
        <v>46294</v>
      </c>
      <c r="B34" s="18" t="n">
        <v>1295</v>
      </c>
      <c r="C34" s="18" t="n">
        <v>1977</v>
      </c>
      <c r="D34" s="18" t="n">
        <v>0</v>
      </c>
      <c r="E34" s="18" t="n">
        <v>0</v>
      </c>
      <c r="F34" s="19" t="n">
        <f aca="false">B34+C34+D34+E34</f>
        <v>3272</v>
      </c>
      <c r="G34" s="18" t="n">
        <v>994.84</v>
      </c>
      <c r="H34" s="18" t="n">
        <v>92.32</v>
      </c>
      <c r="I34" s="18" t="n">
        <v>319.94</v>
      </c>
      <c r="J34" s="18" t="n">
        <v>0</v>
      </c>
      <c r="K34" s="18" t="n">
        <v>638.06</v>
      </c>
      <c r="L34" s="18" t="n">
        <v>0</v>
      </c>
      <c r="M34" s="19" t="n">
        <f aca="false">SUM(H34:L34)</f>
        <v>1050.32</v>
      </c>
      <c r="N34" s="19" t="n">
        <f aca="false">G34-M34</f>
        <v>-55.4799999999999</v>
      </c>
      <c r="O34" s="20" t="n">
        <f aca="false">IFERROR(G34/F34,0)</f>
        <v>0.304046454767726</v>
      </c>
      <c r="P34" s="21"/>
    </row>
    <row r="35" customFormat="false" ht="15" hidden="false" customHeight="false" outlineLevel="0" collapsed="false">
      <c r="A35" s="22" t="n">
        <v>46295</v>
      </c>
      <c r="B35" s="23" t="n">
        <v>926</v>
      </c>
      <c r="C35" s="23" t="n">
        <v>1590</v>
      </c>
      <c r="D35" s="23" t="n">
        <v>0</v>
      </c>
      <c r="E35" s="23" t="n">
        <v>0</v>
      </c>
      <c r="F35" s="24" t="n">
        <f aca="false">B35+C35+D35+E35</f>
        <v>2516</v>
      </c>
      <c r="G35" s="23" t="n">
        <v>796.1</v>
      </c>
      <c r="H35" s="23" t="n">
        <v>92.32</v>
      </c>
      <c r="I35" s="23" t="n">
        <v>319.94</v>
      </c>
      <c r="J35" s="23" t="n">
        <v>0</v>
      </c>
      <c r="K35" s="23" t="n">
        <v>638.06</v>
      </c>
      <c r="L35" s="23" t="n">
        <v>0</v>
      </c>
      <c r="M35" s="24" t="n">
        <f aca="false">SUM(H35:L35)</f>
        <v>1050.32</v>
      </c>
      <c r="N35" s="24" t="n">
        <f aca="false">G35-M35</f>
        <v>-254.22</v>
      </c>
      <c r="O35" s="25" t="n">
        <f aca="false">IFERROR(G35/F35,0)</f>
        <v>0.316414944356121</v>
      </c>
      <c r="P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8" customFormat="false" ht="15" hidden="false" customHeight="false" outlineLevel="0" collapsed="false">
      <c r="A38" s="27" t="s">
        <v>51</v>
      </c>
      <c r="B38" s="28" t="n">
        <f aca="false">SUM(B6:B36)</f>
        <v>31869</v>
      </c>
      <c r="C38" s="28" t="n">
        <f aca="false">SUM(C6:C36)</f>
        <v>64132</v>
      </c>
      <c r="D38" s="28" t="n">
        <f aca="false">SUM(D6:D36)</f>
        <v>-2466</v>
      </c>
      <c r="E38" s="28" t="n">
        <f aca="false">SUM(E6:E36)</f>
        <v>772</v>
      </c>
      <c r="F38" s="28" t="n">
        <f aca="false">SUM(F6:F36)</f>
        <v>94307</v>
      </c>
      <c r="G38" s="28" t="n">
        <f aca="false">SUM(G6:G36)</f>
        <v>31788.16</v>
      </c>
      <c r="H38" s="28" t="n">
        <f aca="false">SUM(H6:H36)</f>
        <v>2769.6</v>
      </c>
      <c r="I38" s="28" t="n">
        <f aca="false">SUM(I6:I36)</f>
        <v>9598.2</v>
      </c>
      <c r="J38" s="28" t="n">
        <f aca="false">SUM(J6:J36)</f>
        <v>409</v>
      </c>
      <c r="K38" s="28" t="n">
        <f aca="false">SUM(K6:K36)</f>
        <v>18503.74</v>
      </c>
      <c r="L38" s="28" t="n">
        <f aca="false">SUM(L6:L36)</f>
        <v>179</v>
      </c>
      <c r="M38" s="28" t="n">
        <f aca="false">SUM(M6:M36)</f>
        <v>31459.54</v>
      </c>
      <c r="N38" s="28" t="n">
        <f aca="false">SUM(N6:N36)</f>
        <v>328.620000000002</v>
      </c>
      <c r="O38" s="29" t="n">
        <f aca="false">IFERROR(G38/F38,0)</f>
        <v>0.337071055170878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46296</v>
      </c>
      <c r="B6" s="18" t="n">
        <v>942</v>
      </c>
      <c r="C6" s="18" t="n">
        <v>1418</v>
      </c>
      <c r="D6" s="18" t="n">
        <v>0</v>
      </c>
      <c r="E6" s="18" t="n">
        <v>0</v>
      </c>
      <c r="F6" s="19" t="n">
        <f aca="false">B6+C6+D6+E6</f>
        <v>2360</v>
      </c>
      <c r="G6" s="18" t="n">
        <v>808.17</v>
      </c>
      <c r="H6" s="18" t="n">
        <v>78.67</v>
      </c>
      <c r="I6" s="18" t="n">
        <v>331.17</v>
      </c>
      <c r="J6" s="18" t="n">
        <v>0</v>
      </c>
      <c r="K6" s="18" t="n">
        <v>565.04</v>
      </c>
      <c r="L6" s="18" t="n">
        <v>0</v>
      </c>
      <c r="M6" s="19" t="n">
        <f aca="false">SUM(H6:L6)</f>
        <v>974.88</v>
      </c>
      <c r="N6" s="19" t="n">
        <f aca="false">G6-M6</f>
        <v>-166.71</v>
      </c>
      <c r="O6" s="20" t="n">
        <f aca="false">IFERROR(G6/F6,0)</f>
        <v>0.342444915254237</v>
      </c>
      <c r="P6" s="21"/>
    </row>
    <row r="7" customFormat="false" ht="15" hidden="false" customHeight="false" outlineLevel="0" collapsed="false">
      <c r="A7" s="22" t="n">
        <v>46297</v>
      </c>
      <c r="B7" s="23" t="n">
        <v>1276</v>
      </c>
      <c r="C7" s="23" t="n">
        <v>3541</v>
      </c>
      <c r="D7" s="23" t="n">
        <v>0</v>
      </c>
      <c r="E7" s="23" t="n">
        <v>0</v>
      </c>
      <c r="F7" s="24" t="n">
        <f aca="false">B7+C7+D7+E7</f>
        <v>4817</v>
      </c>
      <c r="G7" s="23" t="n">
        <v>1715.54</v>
      </c>
      <c r="H7" s="23" t="n">
        <v>78.67</v>
      </c>
      <c r="I7" s="23" t="n">
        <v>331.17</v>
      </c>
      <c r="J7" s="23" t="n">
        <v>0</v>
      </c>
      <c r="K7" s="23" t="n">
        <v>565.04</v>
      </c>
      <c r="L7" s="23" t="n">
        <v>0</v>
      </c>
      <c r="M7" s="24" t="n">
        <f aca="false">SUM(H7:L7)</f>
        <v>974.88</v>
      </c>
      <c r="N7" s="24" t="n">
        <f aca="false">G7-M7</f>
        <v>740.66</v>
      </c>
      <c r="O7" s="25" t="n">
        <f aca="false">IFERROR(G7/F7,0)</f>
        <v>0.356142827485987</v>
      </c>
      <c r="P7" s="26"/>
    </row>
    <row r="8" customFormat="false" ht="15" hidden="false" customHeight="false" outlineLevel="0" collapsed="false">
      <c r="A8" s="17" t="n">
        <v>46298</v>
      </c>
      <c r="B8" s="18" t="n">
        <v>1336</v>
      </c>
      <c r="C8" s="18" t="n">
        <v>2320</v>
      </c>
      <c r="D8" s="18" t="n">
        <v>0</v>
      </c>
      <c r="E8" s="18" t="n">
        <v>0</v>
      </c>
      <c r="F8" s="19" t="n">
        <f aca="false">B8+C8+D8+E8</f>
        <v>3656</v>
      </c>
      <c r="G8" s="18" t="n">
        <v>1307.63</v>
      </c>
      <c r="H8" s="18" t="n">
        <v>78.67</v>
      </c>
      <c r="I8" s="18" t="n">
        <v>331.17</v>
      </c>
      <c r="J8" s="18" t="n">
        <v>0</v>
      </c>
      <c r="K8" s="18" t="n">
        <v>565.04</v>
      </c>
      <c r="L8" s="18" t="n">
        <v>0</v>
      </c>
      <c r="M8" s="19" t="n">
        <f aca="false">SUM(H8:L8)</f>
        <v>974.88</v>
      </c>
      <c r="N8" s="19" t="n">
        <f aca="false">G8-M8</f>
        <v>332.75</v>
      </c>
      <c r="O8" s="20" t="n">
        <f aca="false">IFERROR(G8/F8,0)</f>
        <v>0.357666849015317</v>
      </c>
      <c r="P8" s="21"/>
    </row>
    <row r="9" customFormat="false" ht="15" hidden="false" customHeight="false" outlineLevel="0" collapsed="false">
      <c r="A9" s="22" t="n">
        <v>46299</v>
      </c>
      <c r="B9" s="23" t="n">
        <v>687</v>
      </c>
      <c r="C9" s="23" t="n">
        <v>1728</v>
      </c>
      <c r="D9" s="23" t="n">
        <v>0</v>
      </c>
      <c r="E9" s="23" t="n">
        <v>0</v>
      </c>
      <c r="F9" s="24" t="n">
        <f aca="false">B9+C9+D9+E9</f>
        <v>2415</v>
      </c>
      <c r="G9" s="23" t="n">
        <v>789.98</v>
      </c>
      <c r="H9" s="23" t="n">
        <v>78.67</v>
      </c>
      <c r="I9" s="23" t="n">
        <v>331.17</v>
      </c>
      <c r="J9" s="23" t="n">
        <v>0</v>
      </c>
      <c r="K9" s="23" t="n">
        <v>565.04</v>
      </c>
      <c r="L9" s="23" t="n">
        <v>0</v>
      </c>
      <c r="M9" s="24" t="n">
        <f aca="false">SUM(H9:L9)</f>
        <v>974.88</v>
      </c>
      <c r="N9" s="24" t="n">
        <f aca="false">G9-M9</f>
        <v>-184.9</v>
      </c>
      <c r="O9" s="25" t="n">
        <f aca="false">IFERROR(G9/F9,0)</f>
        <v>0.327113871635611</v>
      </c>
      <c r="P9" s="26"/>
    </row>
    <row r="10" customFormat="false" ht="15" hidden="false" customHeight="false" outlineLevel="0" collapsed="false">
      <c r="A10" s="17" t="n">
        <v>46300</v>
      </c>
      <c r="B10" s="18" t="n">
        <v>0</v>
      </c>
      <c r="C10" s="18" t="n">
        <v>0</v>
      </c>
      <c r="D10" s="18" t="n">
        <v>0</v>
      </c>
      <c r="E10" s="18" t="n">
        <v>0</v>
      </c>
      <c r="F10" s="19" t="n">
        <f aca="false">B10+C10+D10+E10</f>
        <v>0</v>
      </c>
      <c r="G10" s="18" t="n">
        <v>0</v>
      </c>
      <c r="H10" s="18" t="n">
        <v>78.67</v>
      </c>
      <c r="I10" s="18" t="n">
        <v>331.17</v>
      </c>
      <c r="J10" s="18" t="n">
        <v>0</v>
      </c>
      <c r="K10" s="18" t="n">
        <v>0</v>
      </c>
      <c r="L10" s="18" t="n">
        <v>0</v>
      </c>
      <c r="M10" s="19" t="n">
        <f aca="false">SUM(H10:L10)</f>
        <v>409.84</v>
      </c>
      <c r="N10" s="19" t="n">
        <f aca="false">G10-M10</f>
        <v>-409.84</v>
      </c>
      <c r="O10" s="20" t="n">
        <f aca="false">IFERROR(G10/F10,0)</f>
        <v>0</v>
      </c>
      <c r="P10" s="21" t="s">
        <v>50</v>
      </c>
    </row>
    <row r="11" customFormat="false" ht="15" hidden="false" customHeight="false" outlineLevel="0" collapsed="false">
      <c r="A11" s="22" t="n">
        <v>46301</v>
      </c>
      <c r="B11" s="23" t="n">
        <v>741</v>
      </c>
      <c r="C11" s="23" t="n">
        <v>1678</v>
      </c>
      <c r="D11" s="23" t="n">
        <v>0</v>
      </c>
      <c r="E11" s="23" t="n">
        <v>0</v>
      </c>
      <c r="F11" s="24" t="n">
        <f aca="false">B11+C11+D11+E11</f>
        <v>2419</v>
      </c>
      <c r="G11" s="23" t="n">
        <v>755.24</v>
      </c>
      <c r="H11" s="23" t="n">
        <v>78.67</v>
      </c>
      <c r="I11" s="23" t="n">
        <v>331.17</v>
      </c>
      <c r="J11" s="23" t="n">
        <v>0</v>
      </c>
      <c r="K11" s="23" t="n">
        <v>565.04</v>
      </c>
      <c r="L11" s="23" t="n">
        <v>83</v>
      </c>
      <c r="M11" s="24" t="n">
        <f aca="false">SUM(H11:L11)</f>
        <v>1057.88</v>
      </c>
      <c r="N11" s="24" t="n">
        <f aca="false">G11-M11</f>
        <v>-302.64</v>
      </c>
      <c r="O11" s="25" t="n">
        <f aca="false">IFERROR(G11/F11,0)</f>
        <v>0.312211657709797</v>
      </c>
      <c r="P11" s="26"/>
    </row>
    <row r="12" customFormat="false" ht="15" hidden="false" customHeight="false" outlineLevel="0" collapsed="false">
      <c r="A12" s="17" t="n">
        <v>46302</v>
      </c>
      <c r="B12" s="18" t="n">
        <v>922</v>
      </c>
      <c r="C12" s="18" t="n">
        <v>2571</v>
      </c>
      <c r="D12" s="18" t="n">
        <v>0</v>
      </c>
      <c r="E12" s="18" t="n">
        <v>0</v>
      </c>
      <c r="F12" s="19" t="n">
        <f aca="false">B12+C12+D12+E12</f>
        <v>3493</v>
      </c>
      <c r="G12" s="18" t="n">
        <v>1074.88</v>
      </c>
      <c r="H12" s="18" t="n">
        <v>78.67</v>
      </c>
      <c r="I12" s="18" t="n">
        <v>331.17</v>
      </c>
      <c r="J12" s="18" t="n">
        <v>0</v>
      </c>
      <c r="K12" s="18" t="n">
        <v>565.04</v>
      </c>
      <c r="L12" s="18" t="n">
        <v>0</v>
      </c>
      <c r="M12" s="19" t="n">
        <f aca="false">SUM(H12:L12)</f>
        <v>974.88</v>
      </c>
      <c r="N12" s="19" t="n">
        <f aca="false">G12-M12</f>
        <v>100</v>
      </c>
      <c r="O12" s="20" t="n">
        <f aca="false">IFERROR(G12/F12,0)</f>
        <v>0.307724019467507</v>
      </c>
      <c r="P12" s="21"/>
    </row>
    <row r="13" customFormat="false" ht="15" hidden="false" customHeight="false" outlineLevel="0" collapsed="false">
      <c r="A13" s="22" t="n">
        <v>46303</v>
      </c>
      <c r="B13" s="23" t="n">
        <v>1053</v>
      </c>
      <c r="C13" s="23" t="n">
        <v>2104</v>
      </c>
      <c r="D13" s="23" t="n">
        <v>0</v>
      </c>
      <c r="E13" s="23" t="n">
        <v>0</v>
      </c>
      <c r="F13" s="24" t="n">
        <f aca="false">B13+C13+D13+E13</f>
        <v>3157</v>
      </c>
      <c r="G13" s="23" t="n">
        <v>1095.22</v>
      </c>
      <c r="H13" s="23" t="n">
        <v>78.67</v>
      </c>
      <c r="I13" s="23" t="n">
        <v>331.17</v>
      </c>
      <c r="J13" s="23" t="n">
        <v>0</v>
      </c>
      <c r="K13" s="23" t="n">
        <v>565.04</v>
      </c>
      <c r="L13" s="23" t="n">
        <v>0</v>
      </c>
      <c r="M13" s="24" t="n">
        <f aca="false">SUM(H13:L13)</f>
        <v>974.88</v>
      </c>
      <c r="N13" s="24" t="n">
        <f aca="false">G13-M13</f>
        <v>120.34</v>
      </c>
      <c r="O13" s="25" t="n">
        <f aca="false">IFERROR(G13/F13,0)</f>
        <v>0.346917960088692</v>
      </c>
      <c r="P13" s="26"/>
    </row>
    <row r="14" customFormat="false" ht="15" hidden="false" customHeight="false" outlineLevel="0" collapsed="false">
      <c r="A14" s="17" t="n">
        <v>46304</v>
      </c>
      <c r="B14" s="18" t="n">
        <v>1268</v>
      </c>
      <c r="C14" s="18" t="n">
        <v>3456</v>
      </c>
      <c r="D14" s="18" t="n">
        <v>0</v>
      </c>
      <c r="E14" s="18" t="n">
        <v>0</v>
      </c>
      <c r="F14" s="19" t="n">
        <f aca="false">B14+C14+D14+E14</f>
        <v>4724</v>
      </c>
      <c r="G14" s="18" t="n">
        <v>1550.83</v>
      </c>
      <c r="H14" s="18" t="n">
        <v>78.67</v>
      </c>
      <c r="I14" s="18" t="n">
        <v>331.17</v>
      </c>
      <c r="J14" s="18" t="n">
        <v>0</v>
      </c>
      <c r="K14" s="18" t="n">
        <v>565.04</v>
      </c>
      <c r="L14" s="18" t="n">
        <v>0</v>
      </c>
      <c r="M14" s="19" t="n">
        <f aca="false">SUM(H14:L14)</f>
        <v>974.88</v>
      </c>
      <c r="N14" s="19" t="n">
        <f aca="false">G14-M14</f>
        <v>575.95</v>
      </c>
      <c r="O14" s="20" t="n">
        <f aca="false">IFERROR(G14/F14,0)</f>
        <v>0.328287468247248</v>
      </c>
      <c r="P14" s="21"/>
    </row>
    <row r="15" customFormat="false" ht="15" hidden="false" customHeight="false" outlineLevel="0" collapsed="false">
      <c r="A15" s="22" t="n">
        <v>46305</v>
      </c>
      <c r="B15" s="23" t="n">
        <v>1581</v>
      </c>
      <c r="C15" s="23" t="n">
        <v>2576</v>
      </c>
      <c r="D15" s="23" t="n">
        <v>-1931</v>
      </c>
      <c r="E15" s="23" t="n">
        <v>0</v>
      </c>
      <c r="F15" s="24" t="n">
        <f aca="false">B15+C15+D15+E15</f>
        <v>2226</v>
      </c>
      <c r="G15" s="23" t="n">
        <v>840.25</v>
      </c>
      <c r="H15" s="23" t="n">
        <v>78.67</v>
      </c>
      <c r="I15" s="23" t="n">
        <v>331.17</v>
      </c>
      <c r="J15" s="23" t="n">
        <v>0</v>
      </c>
      <c r="K15" s="23" t="n">
        <v>565.04</v>
      </c>
      <c r="L15" s="23" t="n">
        <v>0</v>
      </c>
      <c r="M15" s="24" t="n">
        <f aca="false">SUM(H15:L15)</f>
        <v>974.88</v>
      </c>
      <c r="N15" s="24" t="n">
        <f aca="false">G15-M15</f>
        <v>-134.63</v>
      </c>
      <c r="O15" s="25" t="n">
        <f aca="false">IFERROR(G15/F15,0)</f>
        <v>0.377470799640611</v>
      </c>
      <c r="P15" s="26"/>
    </row>
    <row r="16" customFormat="false" ht="15" hidden="false" customHeight="false" outlineLevel="0" collapsed="false">
      <c r="A16" s="17" t="n">
        <v>46306</v>
      </c>
      <c r="B16" s="18" t="n">
        <v>1016</v>
      </c>
      <c r="C16" s="18" t="n">
        <v>2001</v>
      </c>
      <c r="D16" s="18" t="n">
        <v>0</v>
      </c>
      <c r="E16" s="18" t="n">
        <v>0</v>
      </c>
      <c r="F16" s="19" t="n">
        <f aca="false">B16+C16+D16+E16</f>
        <v>3017</v>
      </c>
      <c r="G16" s="18" t="n">
        <v>956.45</v>
      </c>
      <c r="H16" s="18" t="n">
        <v>78.67</v>
      </c>
      <c r="I16" s="18" t="n">
        <v>331.17</v>
      </c>
      <c r="J16" s="18" t="n">
        <v>0</v>
      </c>
      <c r="K16" s="18" t="n">
        <v>565.04</v>
      </c>
      <c r="L16" s="18" t="n">
        <v>0</v>
      </c>
      <c r="M16" s="19" t="n">
        <f aca="false">SUM(H16:L16)</f>
        <v>974.88</v>
      </c>
      <c r="N16" s="19" t="n">
        <f aca="false">G16-M16</f>
        <v>-18.43</v>
      </c>
      <c r="O16" s="20" t="n">
        <f aca="false">IFERROR(G16/F16,0)</f>
        <v>0.317020218760358</v>
      </c>
      <c r="P16" s="21"/>
    </row>
    <row r="17" customFormat="false" ht="15" hidden="false" customHeight="false" outlineLevel="0" collapsed="false">
      <c r="A17" s="22" t="n">
        <v>46307</v>
      </c>
      <c r="B17" s="23" t="n">
        <v>835</v>
      </c>
      <c r="C17" s="23" t="n">
        <v>2302</v>
      </c>
      <c r="D17" s="23" t="n">
        <v>0</v>
      </c>
      <c r="E17" s="23" t="n">
        <v>0</v>
      </c>
      <c r="F17" s="24" t="n">
        <f aca="false">B17+C17+D17+E17</f>
        <v>3137</v>
      </c>
      <c r="G17" s="23" t="n">
        <v>1153.25</v>
      </c>
      <c r="H17" s="23" t="n">
        <v>78.67</v>
      </c>
      <c r="I17" s="23" t="n">
        <v>331.17</v>
      </c>
      <c r="J17" s="23" t="n">
        <v>0</v>
      </c>
      <c r="K17" s="23" t="n">
        <v>565.04</v>
      </c>
      <c r="L17" s="23" t="n">
        <v>0</v>
      </c>
      <c r="M17" s="24" t="n">
        <f aca="false">SUM(H17:L17)</f>
        <v>974.88</v>
      </c>
      <c r="N17" s="24" t="n">
        <f aca="false">G17-M17</f>
        <v>178.37</v>
      </c>
      <c r="O17" s="25" t="n">
        <f aca="false">IFERROR(G17/F17,0)</f>
        <v>0.367628307299968</v>
      </c>
      <c r="P17" s="26"/>
    </row>
    <row r="18" customFormat="false" ht="15" hidden="false" customHeight="false" outlineLevel="0" collapsed="false">
      <c r="A18" s="17" t="n">
        <v>46308</v>
      </c>
      <c r="B18" s="18" t="n">
        <v>843</v>
      </c>
      <c r="C18" s="18" t="n">
        <v>1664</v>
      </c>
      <c r="D18" s="18" t="n">
        <v>0</v>
      </c>
      <c r="E18" s="18" t="n">
        <v>0</v>
      </c>
      <c r="F18" s="19" t="n">
        <f aca="false">B18+C18+D18+E18</f>
        <v>2507</v>
      </c>
      <c r="G18" s="18" t="n">
        <v>914</v>
      </c>
      <c r="H18" s="18" t="n">
        <v>78.67</v>
      </c>
      <c r="I18" s="18" t="n">
        <v>331.17</v>
      </c>
      <c r="J18" s="18" t="n">
        <v>0</v>
      </c>
      <c r="K18" s="18" t="n">
        <v>565.04</v>
      </c>
      <c r="L18" s="18" t="n">
        <v>0</v>
      </c>
      <c r="M18" s="19" t="n">
        <f aca="false">SUM(H18:L18)</f>
        <v>974.88</v>
      </c>
      <c r="N18" s="19" t="n">
        <f aca="false">G18-M18</f>
        <v>-60.88</v>
      </c>
      <c r="O18" s="20" t="n">
        <f aca="false">IFERROR(G18/F18,0)</f>
        <v>0.364579178300758</v>
      </c>
      <c r="P18" s="21"/>
    </row>
    <row r="19" customFormat="false" ht="15" hidden="false" customHeight="false" outlineLevel="0" collapsed="false">
      <c r="A19" s="22" t="n">
        <v>46309</v>
      </c>
      <c r="B19" s="23" t="n">
        <v>1164</v>
      </c>
      <c r="C19" s="23" t="n">
        <v>1958</v>
      </c>
      <c r="D19" s="23" t="n">
        <v>0</v>
      </c>
      <c r="E19" s="23" t="n">
        <v>0</v>
      </c>
      <c r="F19" s="24" t="n">
        <f aca="false">B19+C19+D19+E19</f>
        <v>3122</v>
      </c>
      <c r="G19" s="23" t="n">
        <v>1089.85</v>
      </c>
      <c r="H19" s="23" t="n">
        <v>78.67</v>
      </c>
      <c r="I19" s="23" t="n">
        <v>331.17</v>
      </c>
      <c r="J19" s="23" t="n">
        <v>0</v>
      </c>
      <c r="K19" s="23" t="n">
        <v>565.04</v>
      </c>
      <c r="L19" s="23" t="n">
        <v>93</v>
      </c>
      <c r="M19" s="24" t="n">
        <f aca="false">SUM(H19:L19)</f>
        <v>1067.88</v>
      </c>
      <c r="N19" s="24" t="n">
        <f aca="false">G19-M19</f>
        <v>21.9699999999998</v>
      </c>
      <c r="O19" s="25" t="n">
        <f aca="false">IFERROR(G19/F19,0)</f>
        <v>0.349087123638693</v>
      </c>
      <c r="P19" s="26"/>
    </row>
    <row r="20" customFormat="false" ht="15" hidden="false" customHeight="false" outlineLevel="0" collapsed="false">
      <c r="A20" s="17" t="n">
        <v>46310</v>
      </c>
      <c r="B20" s="18" t="n">
        <v>1427</v>
      </c>
      <c r="C20" s="18" t="n">
        <v>2383</v>
      </c>
      <c r="D20" s="18" t="n">
        <v>0</v>
      </c>
      <c r="E20" s="18" t="n">
        <v>0</v>
      </c>
      <c r="F20" s="19" t="n">
        <f aca="false">B20+C20+D20+E20</f>
        <v>3810</v>
      </c>
      <c r="G20" s="18" t="n">
        <v>1224.52</v>
      </c>
      <c r="H20" s="18" t="n">
        <v>78.67</v>
      </c>
      <c r="I20" s="18" t="n">
        <v>331.17</v>
      </c>
      <c r="J20" s="18" t="n">
        <v>0</v>
      </c>
      <c r="K20" s="18" t="n">
        <v>565.04</v>
      </c>
      <c r="L20" s="18" t="n">
        <v>0</v>
      </c>
      <c r="M20" s="19" t="n">
        <f aca="false">SUM(H20:L20)</f>
        <v>974.88</v>
      </c>
      <c r="N20" s="19" t="n">
        <f aca="false">G20-M20</f>
        <v>249.64</v>
      </c>
      <c r="O20" s="20" t="n">
        <f aca="false">IFERROR(G20/F20,0)</f>
        <v>0.321396325459318</v>
      </c>
      <c r="P20" s="21"/>
    </row>
    <row r="21" customFormat="false" ht="15" hidden="false" customHeight="false" outlineLevel="0" collapsed="false">
      <c r="A21" s="22" t="n">
        <v>46311</v>
      </c>
      <c r="B21" s="23" t="n">
        <v>962</v>
      </c>
      <c r="C21" s="23" t="n">
        <v>2284</v>
      </c>
      <c r="D21" s="23" t="n">
        <v>0</v>
      </c>
      <c r="E21" s="23" t="n">
        <v>0</v>
      </c>
      <c r="F21" s="24" t="n">
        <f aca="false">B21+C21+D21+E21</f>
        <v>3246</v>
      </c>
      <c r="G21" s="23" t="n">
        <v>1062.05</v>
      </c>
      <c r="H21" s="23" t="n">
        <v>78.67</v>
      </c>
      <c r="I21" s="23" t="n">
        <v>331.17</v>
      </c>
      <c r="J21" s="23" t="n">
        <v>130</v>
      </c>
      <c r="K21" s="23" t="n">
        <v>565.04</v>
      </c>
      <c r="L21" s="23" t="n">
        <v>0</v>
      </c>
      <c r="M21" s="24" t="n">
        <f aca="false">SUM(H21:L21)</f>
        <v>1104.88</v>
      </c>
      <c r="N21" s="24" t="n">
        <f aca="false">G21-M21</f>
        <v>-42.8300000000002</v>
      </c>
      <c r="O21" s="25" t="n">
        <f aca="false">IFERROR(G21/F21,0)</f>
        <v>0.32718730745533</v>
      </c>
      <c r="P21" s="26"/>
    </row>
    <row r="22" customFormat="false" ht="15" hidden="false" customHeight="false" outlineLevel="0" collapsed="false">
      <c r="A22" s="17" t="n">
        <v>46312</v>
      </c>
      <c r="B22" s="18" t="n">
        <v>1489</v>
      </c>
      <c r="C22" s="18" t="n">
        <v>3314</v>
      </c>
      <c r="D22" s="18" t="n">
        <v>0</v>
      </c>
      <c r="E22" s="18" t="n">
        <v>0</v>
      </c>
      <c r="F22" s="19" t="n">
        <f aca="false">B22+C22+D22+E22</f>
        <v>4803</v>
      </c>
      <c r="G22" s="18" t="n">
        <v>1495.41</v>
      </c>
      <c r="H22" s="18" t="n">
        <v>78.67</v>
      </c>
      <c r="I22" s="18" t="n">
        <v>331.17</v>
      </c>
      <c r="J22" s="18" t="n">
        <v>0</v>
      </c>
      <c r="K22" s="18" t="n">
        <v>565.04</v>
      </c>
      <c r="L22" s="18" t="n">
        <v>75</v>
      </c>
      <c r="M22" s="19" t="n">
        <f aca="false">SUM(H22:L22)</f>
        <v>1049.88</v>
      </c>
      <c r="N22" s="19" t="n">
        <f aca="false">G22-M22</f>
        <v>445.53</v>
      </c>
      <c r="O22" s="20" t="n">
        <f aca="false">IFERROR(G22/F22,0)</f>
        <v>0.311349156777014</v>
      </c>
      <c r="P22" s="21"/>
    </row>
    <row r="23" customFormat="false" ht="15" hidden="false" customHeight="false" outlineLevel="0" collapsed="false">
      <c r="A23" s="22" t="n">
        <v>46313</v>
      </c>
      <c r="B23" s="23" t="n">
        <v>885</v>
      </c>
      <c r="C23" s="23" t="n">
        <v>2250</v>
      </c>
      <c r="D23" s="23" t="n">
        <v>0</v>
      </c>
      <c r="E23" s="23" t="n">
        <v>0</v>
      </c>
      <c r="F23" s="24" t="n">
        <f aca="false">B23+C23+D23+E23</f>
        <v>3135</v>
      </c>
      <c r="G23" s="23" t="n">
        <v>1045.79</v>
      </c>
      <c r="H23" s="23" t="n">
        <v>78.67</v>
      </c>
      <c r="I23" s="23" t="n">
        <v>331.17</v>
      </c>
      <c r="J23" s="23" t="n">
        <v>0</v>
      </c>
      <c r="K23" s="23" t="n">
        <v>565.04</v>
      </c>
      <c r="L23" s="23" t="n">
        <v>0</v>
      </c>
      <c r="M23" s="24" t="n">
        <f aca="false">SUM(H23:L23)</f>
        <v>974.88</v>
      </c>
      <c r="N23" s="24" t="n">
        <f aca="false">G23-M23</f>
        <v>70.91</v>
      </c>
      <c r="O23" s="25" t="n">
        <f aca="false">IFERROR(G23/F23,0)</f>
        <v>0.333585326953748</v>
      </c>
      <c r="P23" s="26"/>
    </row>
    <row r="24" customFormat="false" ht="15" hidden="false" customHeight="false" outlineLevel="0" collapsed="false">
      <c r="A24" s="17" t="n">
        <v>46314</v>
      </c>
      <c r="B24" s="18" t="n">
        <v>1128</v>
      </c>
      <c r="C24" s="18" t="n">
        <v>2022</v>
      </c>
      <c r="D24" s="18" t="n">
        <v>0</v>
      </c>
      <c r="E24" s="18" t="n">
        <v>0</v>
      </c>
      <c r="F24" s="19" t="n">
        <f aca="false">B24+C24+D24+E24</f>
        <v>3150</v>
      </c>
      <c r="G24" s="18" t="n">
        <v>1140.76</v>
      </c>
      <c r="H24" s="18" t="n">
        <v>78.67</v>
      </c>
      <c r="I24" s="18" t="n">
        <v>331.17</v>
      </c>
      <c r="J24" s="18" t="n">
        <v>0</v>
      </c>
      <c r="K24" s="18" t="n">
        <v>565.04</v>
      </c>
      <c r="L24" s="18" t="n">
        <v>0</v>
      </c>
      <c r="M24" s="19" t="n">
        <f aca="false">SUM(H24:L24)</f>
        <v>974.88</v>
      </c>
      <c r="N24" s="19" t="n">
        <f aca="false">G24-M24</f>
        <v>165.88</v>
      </c>
      <c r="O24" s="20" t="n">
        <f aca="false">IFERROR(G24/F24,0)</f>
        <v>0.362146031746032</v>
      </c>
      <c r="P24" s="21"/>
    </row>
    <row r="25" customFormat="false" ht="15" hidden="false" customHeight="false" outlineLevel="0" collapsed="false">
      <c r="A25" s="22" t="n">
        <v>46315</v>
      </c>
      <c r="B25" s="23" t="n">
        <v>787</v>
      </c>
      <c r="C25" s="23" t="n">
        <v>2264</v>
      </c>
      <c r="D25" s="23" t="n">
        <v>0</v>
      </c>
      <c r="E25" s="23" t="n">
        <v>0</v>
      </c>
      <c r="F25" s="24" t="n">
        <f aca="false">B25+C25+D25+E25</f>
        <v>3051</v>
      </c>
      <c r="G25" s="23" t="n">
        <v>953.72</v>
      </c>
      <c r="H25" s="23" t="n">
        <v>78.67</v>
      </c>
      <c r="I25" s="23" t="n">
        <v>331.17</v>
      </c>
      <c r="J25" s="23" t="n">
        <v>0</v>
      </c>
      <c r="K25" s="23" t="n">
        <v>565.04</v>
      </c>
      <c r="L25" s="23" t="n">
        <v>0</v>
      </c>
      <c r="M25" s="24" t="n">
        <f aca="false">SUM(H25:L25)</f>
        <v>974.88</v>
      </c>
      <c r="N25" s="24" t="n">
        <f aca="false">G25-M25</f>
        <v>-21.16</v>
      </c>
      <c r="O25" s="25" t="n">
        <f aca="false">IFERROR(G25/F25,0)</f>
        <v>0.312592592592593</v>
      </c>
      <c r="P25" s="26"/>
    </row>
    <row r="26" customFormat="false" ht="15" hidden="false" customHeight="false" outlineLevel="0" collapsed="false">
      <c r="A26" s="17" t="n">
        <v>46316</v>
      </c>
      <c r="B26" s="18" t="n">
        <v>1116</v>
      </c>
      <c r="C26" s="18" t="n">
        <v>2723</v>
      </c>
      <c r="D26" s="18" t="n">
        <v>0</v>
      </c>
      <c r="E26" s="18" t="n">
        <v>0</v>
      </c>
      <c r="F26" s="19" t="n">
        <f aca="false">B26+C26+D26+E26</f>
        <v>3839</v>
      </c>
      <c r="G26" s="18" t="n">
        <v>1354.99</v>
      </c>
      <c r="H26" s="18" t="n">
        <v>78.67</v>
      </c>
      <c r="I26" s="18" t="n">
        <v>331.17</v>
      </c>
      <c r="J26" s="18" t="n">
        <v>0</v>
      </c>
      <c r="K26" s="18" t="n">
        <v>565.04</v>
      </c>
      <c r="L26" s="18" t="n">
        <v>0</v>
      </c>
      <c r="M26" s="19" t="n">
        <f aca="false">SUM(H26:L26)</f>
        <v>974.88</v>
      </c>
      <c r="N26" s="19" t="n">
        <f aca="false">G26-M26</f>
        <v>380.11</v>
      </c>
      <c r="O26" s="20" t="n">
        <f aca="false">IFERROR(G26/F26,0)</f>
        <v>0.352953894243293</v>
      </c>
      <c r="P26" s="21"/>
    </row>
    <row r="27" customFormat="false" ht="15" hidden="false" customHeight="false" outlineLevel="0" collapsed="false">
      <c r="A27" s="22" t="n">
        <v>46317</v>
      </c>
      <c r="B27" s="23" t="n">
        <v>708</v>
      </c>
      <c r="C27" s="23" t="n">
        <v>1724</v>
      </c>
      <c r="D27" s="23" t="n">
        <v>0</v>
      </c>
      <c r="E27" s="23" t="n">
        <v>2151</v>
      </c>
      <c r="F27" s="24" t="n">
        <f aca="false">B27+C27+D27+E27</f>
        <v>4583</v>
      </c>
      <c r="G27" s="23" t="n">
        <v>1416.63</v>
      </c>
      <c r="H27" s="23" t="n">
        <v>78.67</v>
      </c>
      <c r="I27" s="23" t="n">
        <v>331.17</v>
      </c>
      <c r="J27" s="23" t="n">
        <v>0</v>
      </c>
      <c r="K27" s="23" t="n">
        <v>565.04</v>
      </c>
      <c r="L27" s="23" t="n">
        <v>0</v>
      </c>
      <c r="M27" s="24" t="n">
        <f aca="false">SUM(H27:L27)</f>
        <v>974.88</v>
      </c>
      <c r="N27" s="24" t="n">
        <f aca="false">G27-M27</f>
        <v>441.75</v>
      </c>
      <c r="O27" s="25" t="n">
        <f aca="false">IFERROR(G27/F27,0)</f>
        <v>0.309105389482872</v>
      </c>
      <c r="P27" s="26"/>
    </row>
    <row r="28" customFormat="false" ht="15" hidden="false" customHeight="false" outlineLevel="0" collapsed="false">
      <c r="A28" s="17" t="n">
        <v>46318</v>
      </c>
      <c r="B28" s="18" t="n">
        <v>1464</v>
      </c>
      <c r="C28" s="18" t="n">
        <v>2699</v>
      </c>
      <c r="D28" s="18" t="n">
        <v>0</v>
      </c>
      <c r="E28" s="18" t="n">
        <v>0</v>
      </c>
      <c r="F28" s="19" t="n">
        <f aca="false">B28+C28+D28+E28</f>
        <v>4163</v>
      </c>
      <c r="G28" s="18" t="n">
        <v>1410.97</v>
      </c>
      <c r="H28" s="18" t="n">
        <v>78.67</v>
      </c>
      <c r="I28" s="18" t="n">
        <v>331.17</v>
      </c>
      <c r="J28" s="18" t="n">
        <v>0</v>
      </c>
      <c r="K28" s="18" t="n">
        <v>565.04</v>
      </c>
      <c r="L28" s="18" t="n">
        <v>40</v>
      </c>
      <c r="M28" s="19" t="n">
        <f aca="false">SUM(H28:L28)</f>
        <v>1014.88</v>
      </c>
      <c r="N28" s="19" t="n">
        <f aca="false">G28-M28</f>
        <v>396.09</v>
      </c>
      <c r="O28" s="20" t="n">
        <f aca="false">IFERROR(G28/F28,0)</f>
        <v>0.338931059332212</v>
      </c>
      <c r="P28" s="21"/>
    </row>
    <row r="29" customFormat="false" ht="15" hidden="false" customHeight="false" outlineLevel="0" collapsed="false">
      <c r="A29" s="22" t="n">
        <v>46319</v>
      </c>
      <c r="B29" s="23" t="n">
        <v>1360</v>
      </c>
      <c r="C29" s="23" t="n">
        <v>2640</v>
      </c>
      <c r="D29" s="23" t="n">
        <v>0</v>
      </c>
      <c r="E29" s="23" t="n">
        <v>0</v>
      </c>
      <c r="F29" s="24" t="n">
        <f aca="false">B29+C29+D29+E29</f>
        <v>4000</v>
      </c>
      <c r="G29" s="23" t="n">
        <v>1202.46</v>
      </c>
      <c r="H29" s="23" t="n">
        <v>78.67</v>
      </c>
      <c r="I29" s="23" t="n">
        <v>331.17</v>
      </c>
      <c r="J29" s="23" t="n">
        <v>0</v>
      </c>
      <c r="K29" s="23" t="n">
        <v>565.04</v>
      </c>
      <c r="L29" s="23" t="n">
        <v>0</v>
      </c>
      <c r="M29" s="24" t="n">
        <f aca="false">SUM(H29:L29)</f>
        <v>974.88</v>
      </c>
      <c r="N29" s="24" t="n">
        <f aca="false">G29-M29</f>
        <v>227.58</v>
      </c>
      <c r="O29" s="25" t="n">
        <f aca="false">IFERROR(G29/F29,0)</f>
        <v>0.300615</v>
      </c>
      <c r="P29" s="26"/>
    </row>
    <row r="30" customFormat="false" ht="15" hidden="false" customHeight="false" outlineLevel="0" collapsed="false">
      <c r="A30" s="17" t="n">
        <v>46320</v>
      </c>
      <c r="B30" s="18" t="n">
        <v>783</v>
      </c>
      <c r="C30" s="18" t="n">
        <v>2112</v>
      </c>
      <c r="D30" s="18" t="n">
        <v>0</v>
      </c>
      <c r="E30" s="18" t="n">
        <v>0</v>
      </c>
      <c r="F30" s="19" t="n">
        <f aca="false">B30+C30+D30+E30</f>
        <v>2895</v>
      </c>
      <c r="G30" s="18" t="n">
        <v>927.68</v>
      </c>
      <c r="H30" s="18" t="n">
        <v>78.67</v>
      </c>
      <c r="I30" s="18" t="n">
        <v>331.17</v>
      </c>
      <c r="J30" s="18" t="n">
        <v>0</v>
      </c>
      <c r="K30" s="18" t="n">
        <v>565.04</v>
      </c>
      <c r="L30" s="18" t="n">
        <v>75</v>
      </c>
      <c r="M30" s="19" t="n">
        <f aca="false">SUM(H30:L30)</f>
        <v>1049.88</v>
      </c>
      <c r="N30" s="19" t="n">
        <f aca="false">G30-M30</f>
        <v>-122.2</v>
      </c>
      <c r="O30" s="20" t="n">
        <f aca="false">IFERROR(G30/F30,0)</f>
        <v>0.320442141623489</v>
      </c>
      <c r="P30" s="21"/>
    </row>
    <row r="31" customFormat="false" ht="15" hidden="false" customHeight="false" outlineLevel="0" collapsed="false">
      <c r="A31" s="22" t="n">
        <v>46321</v>
      </c>
      <c r="B31" s="23" t="n">
        <v>857</v>
      </c>
      <c r="C31" s="23" t="n">
        <v>2244</v>
      </c>
      <c r="D31" s="23" t="n">
        <v>0</v>
      </c>
      <c r="E31" s="23" t="n">
        <v>0</v>
      </c>
      <c r="F31" s="24" t="n">
        <f aca="false">B31+C31+D31+E31</f>
        <v>3101</v>
      </c>
      <c r="G31" s="23" t="n">
        <v>1024.62</v>
      </c>
      <c r="H31" s="23" t="n">
        <v>78.67</v>
      </c>
      <c r="I31" s="23" t="n">
        <v>331.17</v>
      </c>
      <c r="J31" s="23" t="n">
        <v>0</v>
      </c>
      <c r="K31" s="23" t="n">
        <v>565.04</v>
      </c>
      <c r="L31" s="23" t="n">
        <v>0</v>
      </c>
      <c r="M31" s="24" t="n">
        <f aca="false">SUM(H31:L31)</f>
        <v>974.88</v>
      </c>
      <c r="N31" s="24" t="n">
        <f aca="false">G31-M31</f>
        <v>49.7399999999999</v>
      </c>
      <c r="O31" s="25" t="n">
        <f aca="false">IFERROR(G31/F31,0)</f>
        <v>0.330415994840374</v>
      </c>
      <c r="P31" s="26"/>
    </row>
    <row r="32" customFormat="false" ht="15" hidden="false" customHeight="false" outlineLevel="0" collapsed="false">
      <c r="A32" s="17" t="n">
        <v>46322</v>
      </c>
      <c r="B32" s="18" t="n">
        <v>1408</v>
      </c>
      <c r="C32" s="18" t="n">
        <v>2346</v>
      </c>
      <c r="D32" s="18" t="n">
        <v>0</v>
      </c>
      <c r="E32" s="18" t="n">
        <v>0</v>
      </c>
      <c r="F32" s="19" t="n">
        <f aca="false">B32+C32+D32+E32</f>
        <v>3754</v>
      </c>
      <c r="G32" s="18" t="n">
        <v>1368.32</v>
      </c>
      <c r="H32" s="18" t="n">
        <v>78.67</v>
      </c>
      <c r="I32" s="18" t="n">
        <v>331.17</v>
      </c>
      <c r="J32" s="18" t="n">
        <v>129</v>
      </c>
      <c r="K32" s="18" t="n">
        <v>565.04</v>
      </c>
      <c r="L32" s="18" t="n">
        <v>2</v>
      </c>
      <c r="M32" s="19" t="n">
        <f aca="false">SUM(H32:L32)</f>
        <v>1105.88</v>
      </c>
      <c r="N32" s="19" t="n">
        <f aca="false">G32-M32</f>
        <v>262.44</v>
      </c>
      <c r="O32" s="20" t="n">
        <f aca="false">IFERROR(G32/F32,0)</f>
        <v>0.364496537027171</v>
      </c>
      <c r="P32" s="21"/>
    </row>
    <row r="33" customFormat="false" ht="15" hidden="false" customHeight="false" outlineLevel="0" collapsed="false">
      <c r="A33" s="22" t="n">
        <v>46323</v>
      </c>
      <c r="B33" s="23" t="n">
        <v>952</v>
      </c>
      <c r="C33" s="23" t="n">
        <v>1500</v>
      </c>
      <c r="D33" s="23" t="n">
        <v>0</v>
      </c>
      <c r="E33" s="23" t="n">
        <v>0</v>
      </c>
      <c r="F33" s="24" t="n">
        <f aca="false">B33+C33+D33+E33</f>
        <v>2452</v>
      </c>
      <c r="G33" s="23" t="n">
        <v>904.71</v>
      </c>
      <c r="H33" s="23" t="n">
        <v>78.67</v>
      </c>
      <c r="I33" s="23" t="n">
        <v>331.17</v>
      </c>
      <c r="J33" s="23" t="n">
        <v>0</v>
      </c>
      <c r="K33" s="23" t="n">
        <v>565.04</v>
      </c>
      <c r="L33" s="23" t="n">
        <v>0</v>
      </c>
      <c r="M33" s="24" t="n">
        <f aca="false">SUM(H33:L33)</f>
        <v>974.88</v>
      </c>
      <c r="N33" s="24" t="n">
        <f aca="false">G33-M33</f>
        <v>-70.17</v>
      </c>
      <c r="O33" s="25" t="n">
        <f aca="false">IFERROR(G33/F33,0)</f>
        <v>0.368968189233279</v>
      </c>
      <c r="P33" s="26"/>
    </row>
    <row r="34" customFormat="false" ht="15" hidden="false" customHeight="false" outlineLevel="0" collapsed="false">
      <c r="A34" s="17" t="n">
        <v>46324</v>
      </c>
      <c r="B34" s="18" t="n">
        <v>878</v>
      </c>
      <c r="C34" s="18" t="n">
        <v>1585</v>
      </c>
      <c r="D34" s="18" t="n">
        <v>0</v>
      </c>
      <c r="E34" s="18" t="n">
        <v>0</v>
      </c>
      <c r="F34" s="19" t="n">
        <f aca="false">B34+C34+D34+E34</f>
        <v>2463</v>
      </c>
      <c r="G34" s="18" t="n">
        <v>821.2</v>
      </c>
      <c r="H34" s="18" t="n">
        <v>78.67</v>
      </c>
      <c r="I34" s="18" t="n">
        <v>331.17</v>
      </c>
      <c r="J34" s="18" t="n">
        <v>3</v>
      </c>
      <c r="K34" s="18" t="n">
        <v>565.04</v>
      </c>
      <c r="L34" s="18" t="n">
        <v>0</v>
      </c>
      <c r="M34" s="19" t="n">
        <f aca="false">SUM(H34:L34)</f>
        <v>977.88</v>
      </c>
      <c r="N34" s="19" t="n">
        <f aca="false">G34-M34</f>
        <v>-156.68</v>
      </c>
      <c r="O34" s="20" t="n">
        <f aca="false">IFERROR(G34/F34,0)</f>
        <v>0.333414535119773</v>
      </c>
      <c r="P34" s="21"/>
    </row>
    <row r="35" customFormat="false" ht="15" hidden="false" customHeight="false" outlineLevel="0" collapsed="false">
      <c r="A35" s="22" t="n">
        <v>46325</v>
      </c>
      <c r="B35" s="23" t="n">
        <v>1642</v>
      </c>
      <c r="C35" s="23" t="n">
        <v>2793</v>
      </c>
      <c r="D35" s="23" t="n">
        <v>0</v>
      </c>
      <c r="E35" s="23" t="n">
        <v>0</v>
      </c>
      <c r="F35" s="24" t="n">
        <f aca="false">B35+C35+D35+E35</f>
        <v>4435</v>
      </c>
      <c r="G35" s="23" t="n">
        <v>1549.81</v>
      </c>
      <c r="H35" s="23" t="n">
        <v>78.67</v>
      </c>
      <c r="I35" s="23" t="n">
        <v>331.17</v>
      </c>
      <c r="J35" s="23" t="n">
        <v>0</v>
      </c>
      <c r="K35" s="23" t="n">
        <v>565.04</v>
      </c>
      <c r="L35" s="23" t="n">
        <v>0</v>
      </c>
      <c r="M35" s="24" t="n">
        <f aca="false">SUM(H35:L35)</f>
        <v>974.88</v>
      </c>
      <c r="N35" s="24" t="n">
        <f aca="false">G35-M35</f>
        <v>574.93</v>
      </c>
      <c r="O35" s="25" t="n">
        <f aca="false">IFERROR(G35/F35,0)</f>
        <v>0.349449830890643</v>
      </c>
      <c r="P35" s="26"/>
    </row>
    <row r="36" customFormat="false" ht="15" hidden="false" customHeight="false" outlineLevel="0" collapsed="false">
      <c r="A36" s="17" t="n">
        <v>46326</v>
      </c>
      <c r="B36" s="18" t="n">
        <v>867</v>
      </c>
      <c r="C36" s="18" t="n">
        <v>2426</v>
      </c>
      <c r="D36" s="18" t="n">
        <v>0</v>
      </c>
      <c r="E36" s="18" t="n">
        <v>0</v>
      </c>
      <c r="F36" s="19" t="n">
        <f aca="false">B36+C36+D36+E36</f>
        <v>3293</v>
      </c>
      <c r="G36" s="18" t="n">
        <v>1210.37</v>
      </c>
      <c r="H36" s="18" t="n">
        <v>78.67</v>
      </c>
      <c r="I36" s="18" t="n">
        <v>331.17</v>
      </c>
      <c r="J36" s="18" t="n">
        <v>0</v>
      </c>
      <c r="K36" s="18" t="n">
        <v>565.04</v>
      </c>
      <c r="L36" s="18" t="n">
        <v>0</v>
      </c>
      <c r="M36" s="19" t="n">
        <f aca="false">SUM(H36:L36)</f>
        <v>974.88</v>
      </c>
      <c r="N36" s="19" t="n">
        <f aca="false">G36-M36</f>
        <v>235.49</v>
      </c>
      <c r="O36" s="20" t="n">
        <f aca="false">IFERROR(G36/F36,0)</f>
        <v>0.367558457333738</v>
      </c>
      <c r="P36" s="21"/>
    </row>
    <row r="38" customFormat="false" ht="15" hidden="false" customHeight="false" outlineLevel="0" collapsed="false">
      <c r="A38" s="27" t="s">
        <v>51</v>
      </c>
      <c r="B38" s="28" t="n">
        <f aca="false">SUM(B6:B36)</f>
        <v>32377</v>
      </c>
      <c r="C38" s="28" t="n">
        <f aca="false">SUM(C6:C36)</f>
        <v>68626</v>
      </c>
      <c r="D38" s="28" t="n">
        <f aca="false">SUM(D6:D36)</f>
        <v>-1931</v>
      </c>
      <c r="E38" s="28" t="n">
        <f aca="false">SUM(E6:E36)</f>
        <v>2151</v>
      </c>
      <c r="F38" s="28" t="n">
        <f aca="false">SUM(F6:F36)</f>
        <v>101223</v>
      </c>
      <c r="G38" s="28" t="n">
        <f aca="false">SUM(G6:G36)</f>
        <v>34165.3</v>
      </c>
      <c r="H38" s="28" t="n">
        <f aca="false">SUM(H6:H36)</f>
        <v>2438.77</v>
      </c>
      <c r="I38" s="28" t="n">
        <f aca="false">SUM(I6:I36)</f>
        <v>10266.27</v>
      </c>
      <c r="J38" s="28" t="n">
        <f aca="false">SUM(J6:J36)</f>
        <v>262</v>
      </c>
      <c r="K38" s="28" t="n">
        <f aca="false">SUM(K6:K36)</f>
        <v>16951.2</v>
      </c>
      <c r="L38" s="28" t="n">
        <f aca="false">SUM(L6:L36)</f>
        <v>368</v>
      </c>
      <c r="M38" s="28" t="n">
        <f aca="false">SUM(M6:M36)</f>
        <v>30286.24</v>
      </c>
      <c r="N38" s="28" t="n">
        <f aca="false">SUM(N6:N36)</f>
        <v>3879.06</v>
      </c>
      <c r="O38" s="29" t="n">
        <f aca="false">IFERROR(G38/F38,0)</f>
        <v>0.337525068413305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58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46327</v>
      </c>
      <c r="B6" s="18" t="n">
        <v>1251</v>
      </c>
      <c r="C6" s="18" t="n">
        <v>2357</v>
      </c>
      <c r="D6" s="18" t="n">
        <v>0</v>
      </c>
      <c r="E6" s="18" t="n">
        <v>0</v>
      </c>
      <c r="F6" s="19" t="n">
        <f aca="false">B6+C6+D6+E6</f>
        <v>3608</v>
      </c>
      <c r="G6" s="18" t="n">
        <v>1364.51</v>
      </c>
      <c r="H6" s="18" t="n">
        <v>76.5</v>
      </c>
      <c r="I6" s="18" t="n">
        <v>302.51</v>
      </c>
      <c r="J6" s="18" t="n">
        <v>89</v>
      </c>
      <c r="K6" s="18" t="n">
        <v>557.42</v>
      </c>
      <c r="L6" s="18" t="n">
        <v>0</v>
      </c>
      <c r="M6" s="19" t="n">
        <f aca="false">SUM(H6:L6)</f>
        <v>1025.43</v>
      </c>
      <c r="N6" s="19" t="n">
        <f aca="false">G6-M6</f>
        <v>339.08</v>
      </c>
      <c r="O6" s="20" t="n">
        <f aca="false">IFERROR(G6/F6,0)</f>
        <v>0.378190133037694</v>
      </c>
      <c r="P6" s="21"/>
    </row>
    <row r="7" customFormat="false" ht="15" hidden="false" customHeight="false" outlineLevel="0" collapsed="false">
      <c r="A7" s="22" t="n">
        <v>46328</v>
      </c>
      <c r="B7" s="23" t="n">
        <v>1163</v>
      </c>
      <c r="C7" s="23" t="n">
        <v>2289</v>
      </c>
      <c r="D7" s="23" t="n">
        <v>0</v>
      </c>
      <c r="E7" s="23" t="n">
        <v>0</v>
      </c>
      <c r="F7" s="24" t="n">
        <f aca="false">B7+C7+D7+E7</f>
        <v>3452</v>
      </c>
      <c r="G7" s="23" t="n">
        <v>1299.12</v>
      </c>
      <c r="H7" s="23" t="n">
        <v>76.5</v>
      </c>
      <c r="I7" s="23" t="n">
        <v>302.51</v>
      </c>
      <c r="J7" s="23" t="n">
        <v>0</v>
      </c>
      <c r="K7" s="23" t="n">
        <v>557.42</v>
      </c>
      <c r="L7" s="23" t="n">
        <v>91</v>
      </c>
      <c r="M7" s="24" t="n">
        <f aca="false">SUM(H7:L7)</f>
        <v>1027.43</v>
      </c>
      <c r="N7" s="24" t="n">
        <f aca="false">G7-M7</f>
        <v>271.69</v>
      </c>
      <c r="O7" s="25" t="n">
        <f aca="false">IFERROR(G7/F7,0)</f>
        <v>0.376338354577057</v>
      </c>
      <c r="P7" s="26"/>
    </row>
    <row r="8" customFormat="false" ht="15" hidden="false" customHeight="false" outlineLevel="0" collapsed="false">
      <c r="A8" s="17" t="n">
        <v>46329</v>
      </c>
      <c r="B8" s="18" t="n">
        <v>1539</v>
      </c>
      <c r="C8" s="18" t="n">
        <v>3046</v>
      </c>
      <c r="D8" s="18" t="n">
        <v>0</v>
      </c>
      <c r="E8" s="18" t="n">
        <v>0</v>
      </c>
      <c r="F8" s="19" t="n">
        <f aca="false">B8+C8+D8+E8</f>
        <v>4585</v>
      </c>
      <c r="G8" s="18" t="n">
        <v>1444.55</v>
      </c>
      <c r="H8" s="18" t="n">
        <v>76.5</v>
      </c>
      <c r="I8" s="18" t="n">
        <v>302.51</v>
      </c>
      <c r="J8" s="18" t="n">
        <v>0</v>
      </c>
      <c r="K8" s="18" t="n">
        <v>557.42</v>
      </c>
      <c r="L8" s="18" t="n">
        <v>0</v>
      </c>
      <c r="M8" s="19" t="n">
        <f aca="false">SUM(H8:L8)</f>
        <v>936.43</v>
      </c>
      <c r="N8" s="19" t="n">
        <f aca="false">G8-M8</f>
        <v>508.12</v>
      </c>
      <c r="O8" s="20" t="n">
        <f aca="false">IFERROR(G8/F8,0)</f>
        <v>0.315059978189749</v>
      </c>
      <c r="P8" s="21"/>
    </row>
    <row r="9" customFormat="false" ht="15" hidden="false" customHeight="false" outlineLevel="0" collapsed="false">
      <c r="A9" s="22" t="n">
        <v>46330</v>
      </c>
      <c r="B9" s="23" t="n">
        <v>1575</v>
      </c>
      <c r="C9" s="23" t="n">
        <v>2426</v>
      </c>
      <c r="D9" s="23" t="n">
        <v>0</v>
      </c>
      <c r="E9" s="23" t="n">
        <v>0</v>
      </c>
      <c r="F9" s="24" t="n">
        <f aca="false">B9+C9+D9+E9</f>
        <v>4001</v>
      </c>
      <c r="G9" s="23" t="n">
        <v>1344.5</v>
      </c>
      <c r="H9" s="23" t="n">
        <v>76.5</v>
      </c>
      <c r="I9" s="23" t="n">
        <v>302.51</v>
      </c>
      <c r="J9" s="23" t="n">
        <v>0</v>
      </c>
      <c r="K9" s="23" t="n">
        <v>557.42</v>
      </c>
      <c r="L9" s="23" t="n">
        <v>0</v>
      </c>
      <c r="M9" s="24" t="n">
        <f aca="false">SUM(H9:L9)</f>
        <v>936.43</v>
      </c>
      <c r="N9" s="24" t="n">
        <f aca="false">G9-M9</f>
        <v>408.07</v>
      </c>
      <c r="O9" s="25" t="n">
        <f aca="false">IFERROR(G9/F9,0)</f>
        <v>0.336040989752562</v>
      </c>
      <c r="P9" s="26"/>
    </row>
    <row r="10" customFormat="false" ht="15" hidden="false" customHeight="false" outlineLevel="0" collapsed="false">
      <c r="A10" s="17" t="n">
        <v>46331</v>
      </c>
      <c r="B10" s="18" t="n">
        <v>1221</v>
      </c>
      <c r="C10" s="18" t="n">
        <v>1852</v>
      </c>
      <c r="D10" s="18" t="n">
        <v>0</v>
      </c>
      <c r="E10" s="18" t="n">
        <v>0</v>
      </c>
      <c r="F10" s="19" t="n">
        <f aca="false">B10+C10+D10+E10</f>
        <v>3073</v>
      </c>
      <c r="G10" s="18" t="n">
        <v>942.63</v>
      </c>
      <c r="H10" s="18" t="n">
        <v>76.5</v>
      </c>
      <c r="I10" s="18" t="n">
        <v>302.51</v>
      </c>
      <c r="J10" s="18" t="n">
        <v>0</v>
      </c>
      <c r="K10" s="18" t="n">
        <v>557.42</v>
      </c>
      <c r="L10" s="18" t="n">
        <v>71</v>
      </c>
      <c r="M10" s="19" t="n">
        <f aca="false">SUM(H10:L10)</f>
        <v>1007.43</v>
      </c>
      <c r="N10" s="19" t="n">
        <f aca="false">G10-M10</f>
        <v>-64.8</v>
      </c>
      <c r="O10" s="20" t="n">
        <f aca="false">IFERROR(G10/F10,0)</f>
        <v>0.306745850959974</v>
      </c>
      <c r="P10" s="21"/>
    </row>
    <row r="11" customFormat="false" ht="15" hidden="false" customHeight="false" outlineLevel="0" collapsed="false">
      <c r="A11" s="22" t="n">
        <v>46332</v>
      </c>
      <c r="B11" s="23" t="n">
        <v>1609</v>
      </c>
      <c r="C11" s="23" t="n">
        <v>2427</v>
      </c>
      <c r="D11" s="23" t="n">
        <v>0</v>
      </c>
      <c r="E11" s="23" t="n">
        <v>0</v>
      </c>
      <c r="F11" s="24" t="n">
        <f aca="false">B11+C11+D11+E11</f>
        <v>4036</v>
      </c>
      <c r="G11" s="23" t="n">
        <v>1380.01</v>
      </c>
      <c r="H11" s="23" t="n">
        <v>76.5</v>
      </c>
      <c r="I11" s="23" t="n">
        <v>302.51</v>
      </c>
      <c r="J11" s="23" t="n">
        <v>0</v>
      </c>
      <c r="K11" s="23" t="n">
        <v>557.42</v>
      </c>
      <c r="L11" s="23" t="n">
        <v>0</v>
      </c>
      <c r="M11" s="24" t="n">
        <f aca="false">SUM(H11:L11)</f>
        <v>936.43</v>
      </c>
      <c r="N11" s="24" t="n">
        <f aca="false">G11-M11</f>
        <v>443.58</v>
      </c>
      <c r="O11" s="25" t="n">
        <f aca="false">IFERROR(G11/F11,0)</f>
        <v>0.341925173439049</v>
      </c>
      <c r="P11" s="26"/>
    </row>
    <row r="12" customFormat="false" ht="15" hidden="false" customHeight="false" outlineLevel="0" collapsed="false">
      <c r="A12" s="17" t="n">
        <v>46333</v>
      </c>
      <c r="B12" s="18" t="n">
        <v>1714</v>
      </c>
      <c r="C12" s="18" t="n">
        <v>2707</v>
      </c>
      <c r="D12" s="18" t="n">
        <v>0</v>
      </c>
      <c r="E12" s="18" t="n">
        <v>0</v>
      </c>
      <c r="F12" s="19" t="n">
        <f aca="false">B12+C12+D12+E12</f>
        <v>4421</v>
      </c>
      <c r="G12" s="18" t="n">
        <v>1463.32</v>
      </c>
      <c r="H12" s="18" t="n">
        <v>76.5</v>
      </c>
      <c r="I12" s="18" t="n">
        <v>302.51</v>
      </c>
      <c r="J12" s="18" t="n">
        <v>0</v>
      </c>
      <c r="K12" s="18" t="n">
        <v>557.42</v>
      </c>
      <c r="L12" s="18" t="n">
        <v>0</v>
      </c>
      <c r="M12" s="19" t="n">
        <f aca="false">SUM(H12:L12)</f>
        <v>936.43</v>
      </c>
      <c r="N12" s="19" t="n">
        <f aca="false">G12-M12</f>
        <v>526.89</v>
      </c>
      <c r="O12" s="20" t="n">
        <f aca="false">IFERROR(G12/F12,0)</f>
        <v>0.330992988011762</v>
      </c>
      <c r="P12" s="21"/>
    </row>
    <row r="13" customFormat="false" ht="15" hidden="false" customHeight="false" outlineLevel="0" collapsed="false">
      <c r="A13" s="22" t="n">
        <v>46334</v>
      </c>
      <c r="B13" s="23" t="n">
        <v>684</v>
      </c>
      <c r="C13" s="23" t="n">
        <v>1969</v>
      </c>
      <c r="D13" s="23" t="n">
        <v>0</v>
      </c>
      <c r="E13" s="23" t="n">
        <v>0</v>
      </c>
      <c r="F13" s="24" t="n">
        <f aca="false">B13+C13+D13+E13</f>
        <v>2653</v>
      </c>
      <c r="G13" s="23" t="n">
        <v>929.8</v>
      </c>
      <c r="H13" s="23" t="n">
        <v>76.5</v>
      </c>
      <c r="I13" s="23" t="n">
        <v>302.51</v>
      </c>
      <c r="J13" s="23" t="n">
        <v>0</v>
      </c>
      <c r="K13" s="23" t="n">
        <v>557.42</v>
      </c>
      <c r="L13" s="23" t="n">
        <v>0</v>
      </c>
      <c r="M13" s="24" t="n">
        <f aca="false">SUM(H13:L13)</f>
        <v>936.43</v>
      </c>
      <c r="N13" s="24" t="n">
        <f aca="false">G13-M13</f>
        <v>-6.63</v>
      </c>
      <c r="O13" s="25" t="n">
        <f aca="false">IFERROR(G13/F13,0)</f>
        <v>0.350471164719186</v>
      </c>
      <c r="P13" s="26"/>
    </row>
    <row r="14" customFormat="false" ht="15" hidden="false" customHeight="false" outlineLevel="0" collapsed="false">
      <c r="A14" s="17" t="n">
        <v>46335</v>
      </c>
      <c r="B14" s="18" t="n">
        <v>1029</v>
      </c>
      <c r="C14" s="18" t="n">
        <v>2054</v>
      </c>
      <c r="D14" s="18" t="n">
        <v>0</v>
      </c>
      <c r="E14" s="18" t="n">
        <v>0</v>
      </c>
      <c r="F14" s="19" t="n">
        <f aca="false">B14+C14+D14+E14</f>
        <v>3083</v>
      </c>
      <c r="G14" s="18" t="n">
        <v>1020.24</v>
      </c>
      <c r="H14" s="18" t="n">
        <v>76.5</v>
      </c>
      <c r="I14" s="18" t="n">
        <v>302.51</v>
      </c>
      <c r="J14" s="18" t="n">
        <v>0</v>
      </c>
      <c r="K14" s="18" t="n">
        <v>557.42</v>
      </c>
      <c r="L14" s="18" t="n">
        <v>0</v>
      </c>
      <c r="M14" s="19" t="n">
        <f aca="false">SUM(H14:L14)</f>
        <v>936.43</v>
      </c>
      <c r="N14" s="19" t="n">
        <f aca="false">G14-M14</f>
        <v>83.8100000000001</v>
      </c>
      <c r="O14" s="20" t="n">
        <f aca="false">IFERROR(G14/F14,0)</f>
        <v>0.330924424262082</v>
      </c>
      <c r="P14" s="21"/>
    </row>
    <row r="15" customFormat="false" ht="15" hidden="false" customHeight="false" outlineLevel="0" collapsed="false">
      <c r="A15" s="22" t="n">
        <v>46336</v>
      </c>
      <c r="B15" s="23" t="n">
        <v>1663</v>
      </c>
      <c r="C15" s="23" t="n">
        <v>2550</v>
      </c>
      <c r="D15" s="23" t="n">
        <v>0</v>
      </c>
      <c r="E15" s="23" t="n">
        <v>0</v>
      </c>
      <c r="F15" s="24" t="n">
        <f aca="false">B15+C15+D15+E15</f>
        <v>4213</v>
      </c>
      <c r="G15" s="23" t="n">
        <v>1467.03</v>
      </c>
      <c r="H15" s="23" t="n">
        <v>76.5</v>
      </c>
      <c r="I15" s="23" t="n">
        <v>302.51</v>
      </c>
      <c r="J15" s="23" t="n">
        <v>0</v>
      </c>
      <c r="K15" s="23" t="n">
        <v>557.42</v>
      </c>
      <c r="L15" s="23" t="n">
        <v>0</v>
      </c>
      <c r="M15" s="24" t="n">
        <f aca="false">SUM(H15:L15)</f>
        <v>936.43</v>
      </c>
      <c r="N15" s="24" t="n">
        <f aca="false">G15-M15</f>
        <v>530.6</v>
      </c>
      <c r="O15" s="25" t="n">
        <f aca="false">IFERROR(G15/F15,0)</f>
        <v>0.348215048658913</v>
      </c>
      <c r="P15" s="26"/>
    </row>
    <row r="16" customFormat="false" ht="15" hidden="false" customHeight="false" outlineLevel="0" collapsed="false">
      <c r="A16" s="17" t="n">
        <v>46337</v>
      </c>
      <c r="B16" s="18" t="n">
        <v>1027</v>
      </c>
      <c r="C16" s="18" t="n">
        <v>1911</v>
      </c>
      <c r="D16" s="18" t="n">
        <v>0</v>
      </c>
      <c r="E16" s="18" t="n">
        <v>0</v>
      </c>
      <c r="F16" s="19" t="n">
        <f aca="false">B16+C16+D16+E16</f>
        <v>2938</v>
      </c>
      <c r="G16" s="18" t="n">
        <v>1096.87</v>
      </c>
      <c r="H16" s="18" t="n">
        <v>76.5</v>
      </c>
      <c r="I16" s="18" t="n">
        <v>302.51</v>
      </c>
      <c r="J16" s="18" t="n">
        <v>0</v>
      </c>
      <c r="K16" s="18" t="n">
        <v>557.42</v>
      </c>
      <c r="L16" s="18" t="n">
        <v>0</v>
      </c>
      <c r="M16" s="19" t="n">
        <f aca="false">SUM(H16:L16)</f>
        <v>936.43</v>
      </c>
      <c r="N16" s="19" t="n">
        <f aca="false">G16-M16</f>
        <v>160.44</v>
      </c>
      <c r="O16" s="20" t="n">
        <f aca="false">IFERROR(G16/F16,0)</f>
        <v>0.373339006126617</v>
      </c>
      <c r="P16" s="21"/>
    </row>
    <row r="17" customFormat="false" ht="15" hidden="false" customHeight="false" outlineLevel="0" collapsed="false">
      <c r="A17" s="22" t="n">
        <v>46338</v>
      </c>
      <c r="B17" s="23" t="n">
        <v>1597</v>
      </c>
      <c r="C17" s="23" t="n">
        <v>2975</v>
      </c>
      <c r="D17" s="23" t="n">
        <v>0</v>
      </c>
      <c r="E17" s="23" t="n">
        <v>0</v>
      </c>
      <c r="F17" s="24" t="n">
        <f aca="false">B17+C17+D17+E17</f>
        <v>4572</v>
      </c>
      <c r="G17" s="23" t="n">
        <v>1418.77</v>
      </c>
      <c r="H17" s="23" t="n">
        <v>76.5</v>
      </c>
      <c r="I17" s="23" t="n">
        <v>302.51</v>
      </c>
      <c r="J17" s="23" t="n">
        <v>0</v>
      </c>
      <c r="K17" s="23" t="n">
        <v>557.42</v>
      </c>
      <c r="L17" s="23" t="n">
        <v>0</v>
      </c>
      <c r="M17" s="24" t="n">
        <f aca="false">SUM(H17:L17)</f>
        <v>936.43</v>
      </c>
      <c r="N17" s="24" t="n">
        <f aca="false">G17-M17</f>
        <v>482.34</v>
      </c>
      <c r="O17" s="25" t="n">
        <f aca="false">IFERROR(G17/F17,0)</f>
        <v>0.310317147856518</v>
      </c>
      <c r="P17" s="26"/>
    </row>
    <row r="18" customFormat="false" ht="15" hidden="false" customHeight="false" outlineLevel="0" collapsed="false">
      <c r="A18" s="17" t="n">
        <v>46339</v>
      </c>
      <c r="B18" s="18" t="n">
        <v>1789</v>
      </c>
      <c r="C18" s="18" t="n">
        <v>3569</v>
      </c>
      <c r="D18" s="18" t="n">
        <v>0</v>
      </c>
      <c r="E18" s="18" t="n">
        <v>0</v>
      </c>
      <c r="F18" s="19" t="n">
        <f aca="false">B18+C18+D18+E18</f>
        <v>5358</v>
      </c>
      <c r="G18" s="18" t="n">
        <v>1883.23</v>
      </c>
      <c r="H18" s="18" t="n">
        <v>76.5</v>
      </c>
      <c r="I18" s="18" t="n">
        <v>302.51</v>
      </c>
      <c r="J18" s="18" t="n">
        <v>0</v>
      </c>
      <c r="K18" s="18" t="n">
        <v>557.42</v>
      </c>
      <c r="L18" s="18" t="n">
        <v>0</v>
      </c>
      <c r="M18" s="19" t="n">
        <f aca="false">SUM(H18:L18)</f>
        <v>936.43</v>
      </c>
      <c r="N18" s="19" t="n">
        <f aca="false">G18-M18</f>
        <v>946.8</v>
      </c>
      <c r="O18" s="20" t="n">
        <f aca="false">IFERROR(G18/F18,0)</f>
        <v>0.351480029861889</v>
      </c>
      <c r="P18" s="21"/>
    </row>
    <row r="19" customFormat="false" ht="15" hidden="false" customHeight="false" outlineLevel="0" collapsed="false">
      <c r="A19" s="22" t="n">
        <v>46340</v>
      </c>
      <c r="B19" s="23" t="n">
        <v>1758</v>
      </c>
      <c r="C19" s="23" t="n">
        <v>3187</v>
      </c>
      <c r="D19" s="23" t="n">
        <v>0</v>
      </c>
      <c r="E19" s="23" t="n">
        <v>0</v>
      </c>
      <c r="F19" s="24" t="n">
        <f aca="false">B19+C19+D19+E19</f>
        <v>4945</v>
      </c>
      <c r="G19" s="23" t="n">
        <v>1858.18</v>
      </c>
      <c r="H19" s="23" t="n">
        <v>76.5</v>
      </c>
      <c r="I19" s="23" t="n">
        <v>302.51</v>
      </c>
      <c r="J19" s="23" t="n">
        <v>0</v>
      </c>
      <c r="K19" s="23" t="n">
        <v>557.42</v>
      </c>
      <c r="L19" s="23" t="n">
        <v>0</v>
      </c>
      <c r="M19" s="24" t="n">
        <f aca="false">SUM(H19:L19)</f>
        <v>936.43</v>
      </c>
      <c r="N19" s="24" t="n">
        <f aca="false">G19-M19</f>
        <v>921.75</v>
      </c>
      <c r="O19" s="25" t="n">
        <f aca="false">IFERROR(G19/F19,0)</f>
        <v>0.375769464105157</v>
      </c>
      <c r="P19" s="26"/>
    </row>
    <row r="20" customFormat="false" ht="15" hidden="false" customHeight="false" outlineLevel="0" collapsed="false">
      <c r="A20" s="17" t="n">
        <v>46341</v>
      </c>
      <c r="B20" s="18" t="n">
        <v>864</v>
      </c>
      <c r="C20" s="18" t="n">
        <v>2408</v>
      </c>
      <c r="D20" s="18" t="n">
        <v>-1809</v>
      </c>
      <c r="E20" s="18" t="n">
        <v>0</v>
      </c>
      <c r="F20" s="19" t="n">
        <f aca="false">B20+C20+D20+E20</f>
        <v>1463</v>
      </c>
      <c r="G20" s="18" t="n">
        <v>498.41</v>
      </c>
      <c r="H20" s="18" t="n">
        <v>76.5</v>
      </c>
      <c r="I20" s="18" t="n">
        <v>302.51</v>
      </c>
      <c r="J20" s="18" t="n">
        <v>46</v>
      </c>
      <c r="K20" s="18" t="n">
        <v>557.42</v>
      </c>
      <c r="L20" s="18" t="n">
        <v>0</v>
      </c>
      <c r="M20" s="19" t="n">
        <f aca="false">SUM(H20:L20)</f>
        <v>982.43</v>
      </c>
      <c r="N20" s="19" t="n">
        <f aca="false">G20-M20</f>
        <v>-484.02</v>
      </c>
      <c r="O20" s="20" t="n">
        <f aca="false">IFERROR(G20/F20,0)</f>
        <v>0.340676691729323</v>
      </c>
      <c r="P20" s="21"/>
    </row>
    <row r="21" customFormat="false" ht="15" hidden="false" customHeight="false" outlineLevel="0" collapsed="false">
      <c r="A21" s="22" t="n">
        <v>46342</v>
      </c>
      <c r="B21" s="23" t="n">
        <v>1168</v>
      </c>
      <c r="C21" s="23" t="n">
        <v>2710</v>
      </c>
      <c r="D21" s="23" t="n">
        <v>0</v>
      </c>
      <c r="E21" s="23" t="n">
        <v>2180</v>
      </c>
      <c r="F21" s="24" t="n">
        <f aca="false">B21+C21+D21+E21</f>
        <v>6058</v>
      </c>
      <c r="G21" s="23" t="n">
        <v>1910.45</v>
      </c>
      <c r="H21" s="23" t="n">
        <v>76.5</v>
      </c>
      <c r="I21" s="23" t="n">
        <v>302.51</v>
      </c>
      <c r="J21" s="23" t="n">
        <v>0</v>
      </c>
      <c r="K21" s="23" t="n">
        <v>557.42</v>
      </c>
      <c r="L21" s="23" t="n">
        <v>0</v>
      </c>
      <c r="M21" s="24" t="n">
        <f aca="false">SUM(H21:L21)</f>
        <v>936.43</v>
      </c>
      <c r="N21" s="24" t="n">
        <f aca="false">G21-M21</f>
        <v>974.02</v>
      </c>
      <c r="O21" s="25" t="n">
        <f aca="false">IFERROR(G21/F21,0)</f>
        <v>0.315359854737537</v>
      </c>
      <c r="P21" s="26"/>
    </row>
    <row r="22" customFormat="false" ht="15" hidden="false" customHeight="false" outlineLevel="0" collapsed="false">
      <c r="A22" s="17" t="n">
        <v>46343</v>
      </c>
      <c r="B22" s="18" t="n">
        <v>1197</v>
      </c>
      <c r="C22" s="18" t="n">
        <v>2871</v>
      </c>
      <c r="D22" s="18" t="n">
        <v>0</v>
      </c>
      <c r="E22" s="18" t="n">
        <v>0</v>
      </c>
      <c r="F22" s="19" t="n">
        <f aca="false">B22+C22+D22+E22</f>
        <v>4068</v>
      </c>
      <c r="G22" s="18" t="n">
        <v>1476.89</v>
      </c>
      <c r="H22" s="18" t="n">
        <v>76.5</v>
      </c>
      <c r="I22" s="18" t="n">
        <v>302.51</v>
      </c>
      <c r="J22" s="18" t="n">
        <v>0</v>
      </c>
      <c r="K22" s="18" t="n">
        <v>557.42</v>
      </c>
      <c r="L22" s="18" t="n">
        <v>0</v>
      </c>
      <c r="M22" s="19" t="n">
        <f aca="false">SUM(H22:L22)</f>
        <v>936.43</v>
      </c>
      <c r="N22" s="19" t="n">
        <f aca="false">G22-M22</f>
        <v>540.46</v>
      </c>
      <c r="O22" s="20" t="n">
        <f aca="false">IFERROR(G22/F22,0)</f>
        <v>0.36305063913471</v>
      </c>
      <c r="P22" s="21"/>
    </row>
    <row r="23" customFormat="false" ht="15" hidden="false" customHeight="false" outlineLevel="0" collapsed="false">
      <c r="A23" s="22" t="n">
        <v>46344</v>
      </c>
      <c r="B23" s="23" t="n">
        <v>1603</v>
      </c>
      <c r="C23" s="23" t="n">
        <v>2840</v>
      </c>
      <c r="D23" s="23" t="n">
        <v>0</v>
      </c>
      <c r="E23" s="23" t="n">
        <v>0</v>
      </c>
      <c r="F23" s="24" t="n">
        <f aca="false">B23+C23+D23+E23</f>
        <v>4443</v>
      </c>
      <c r="G23" s="23" t="n">
        <v>1520.05</v>
      </c>
      <c r="H23" s="23" t="n">
        <v>76.5</v>
      </c>
      <c r="I23" s="23" t="n">
        <v>302.51</v>
      </c>
      <c r="J23" s="23" t="n">
        <v>0</v>
      </c>
      <c r="K23" s="23" t="n">
        <v>557.42</v>
      </c>
      <c r="L23" s="23" t="n">
        <v>0</v>
      </c>
      <c r="M23" s="24" t="n">
        <f aca="false">SUM(H23:L23)</f>
        <v>936.43</v>
      </c>
      <c r="N23" s="24" t="n">
        <f aca="false">G23-M23</f>
        <v>583.62</v>
      </c>
      <c r="O23" s="25" t="n">
        <f aca="false">IFERROR(G23/F23,0)</f>
        <v>0.342122439792933</v>
      </c>
      <c r="P23" s="26"/>
    </row>
    <row r="24" customFormat="false" ht="15" hidden="false" customHeight="false" outlineLevel="0" collapsed="false">
      <c r="A24" s="17" t="n">
        <v>46345</v>
      </c>
      <c r="B24" s="18" t="n">
        <v>1370</v>
      </c>
      <c r="C24" s="18" t="n">
        <v>2627</v>
      </c>
      <c r="D24" s="18" t="n">
        <v>0</v>
      </c>
      <c r="E24" s="18" t="n">
        <v>0</v>
      </c>
      <c r="F24" s="19" t="n">
        <f aca="false">B24+C24+D24+E24</f>
        <v>3997</v>
      </c>
      <c r="G24" s="18" t="n">
        <v>1390.08</v>
      </c>
      <c r="H24" s="18" t="n">
        <v>76.5</v>
      </c>
      <c r="I24" s="18" t="n">
        <v>302.51</v>
      </c>
      <c r="J24" s="18" t="n">
        <v>0</v>
      </c>
      <c r="K24" s="18" t="n">
        <v>557.42</v>
      </c>
      <c r="L24" s="18" t="n">
        <v>0</v>
      </c>
      <c r="M24" s="19" t="n">
        <f aca="false">SUM(H24:L24)</f>
        <v>936.43</v>
      </c>
      <c r="N24" s="19" t="n">
        <f aca="false">G24-M24</f>
        <v>453.65</v>
      </c>
      <c r="O24" s="20" t="n">
        <f aca="false">IFERROR(G24/F24,0)</f>
        <v>0.34778083562672</v>
      </c>
      <c r="P24" s="21"/>
    </row>
    <row r="25" customFormat="false" ht="15" hidden="false" customHeight="false" outlineLevel="0" collapsed="false">
      <c r="A25" s="22" t="n">
        <v>46346</v>
      </c>
      <c r="B25" s="23" t="n">
        <v>2216</v>
      </c>
      <c r="C25" s="23" t="n">
        <v>4045</v>
      </c>
      <c r="D25" s="23" t="n">
        <v>0</v>
      </c>
      <c r="E25" s="23" t="n">
        <v>0</v>
      </c>
      <c r="F25" s="24" t="n">
        <f aca="false">B25+C25+D25+E25</f>
        <v>6261</v>
      </c>
      <c r="G25" s="23" t="n">
        <v>2191.22</v>
      </c>
      <c r="H25" s="23" t="n">
        <v>76.5</v>
      </c>
      <c r="I25" s="23" t="n">
        <v>302.51</v>
      </c>
      <c r="J25" s="23" t="n">
        <v>0</v>
      </c>
      <c r="K25" s="23" t="n">
        <v>557.42</v>
      </c>
      <c r="L25" s="23" t="n">
        <v>0</v>
      </c>
      <c r="M25" s="24" t="n">
        <f aca="false">SUM(H25:L25)</f>
        <v>936.43</v>
      </c>
      <c r="N25" s="24" t="n">
        <f aca="false">G25-M25</f>
        <v>1254.79</v>
      </c>
      <c r="O25" s="25" t="n">
        <f aca="false">IFERROR(G25/F25,0)</f>
        <v>0.349979236543683</v>
      </c>
      <c r="P25" s="26"/>
    </row>
    <row r="26" customFormat="false" ht="15" hidden="false" customHeight="false" outlineLevel="0" collapsed="false">
      <c r="A26" s="17" t="n">
        <v>46347</v>
      </c>
      <c r="B26" s="18" t="n">
        <v>1178</v>
      </c>
      <c r="C26" s="18" t="n">
        <v>3413</v>
      </c>
      <c r="D26" s="18" t="n">
        <v>0</v>
      </c>
      <c r="E26" s="18" t="n">
        <v>0</v>
      </c>
      <c r="F26" s="19" t="n">
        <f aca="false">B26+C26+D26+E26</f>
        <v>4591</v>
      </c>
      <c r="G26" s="18" t="n">
        <v>1511.1</v>
      </c>
      <c r="H26" s="18" t="n">
        <v>76.5</v>
      </c>
      <c r="I26" s="18" t="n">
        <v>302.51</v>
      </c>
      <c r="J26" s="18" t="n">
        <v>0</v>
      </c>
      <c r="K26" s="18" t="n">
        <v>557.42</v>
      </c>
      <c r="L26" s="18" t="n">
        <v>0</v>
      </c>
      <c r="M26" s="19" t="n">
        <f aca="false">SUM(H26:L26)</f>
        <v>936.43</v>
      </c>
      <c r="N26" s="19" t="n">
        <f aca="false">G26-M26</f>
        <v>574.67</v>
      </c>
      <c r="O26" s="20" t="n">
        <f aca="false">IFERROR(G26/F26,0)</f>
        <v>0.329143977346983</v>
      </c>
      <c r="P26" s="21"/>
    </row>
    <row r="27" customFormat="false" ht="15" hidden="false" customHeight="false" outlineLevel="0" collapsed="false">
      <c r="A27" s="22" t="n">
        <v>46348</v>
      </c>
      <c r="B27" s="23" t="n">
        <v>1338</v>
      </c>
      <c r="C27" s="23" t="n">
        <v>2579</v>
      </c>
      <c r="D27" s="23" t="n">
        <v>0</v>
      </c>
      <c r="E27" s="23" t="n">
        <v>0</v>
      </c>
      <c r="F27" s="24" t="n">
        <f aca="false">B27+C27+D27+E27</f>
        <v>3917</v>
      </c>
      <c r="G27" s="23" t="n">
        <v>1410.87</v>
      </c>
      <c r="H27" s="23" t="n">
        <v>76.5</v>
      </c>
      <c r="I27" s="23" t="n">
        <v>302.51</v>
      </c>
      <c r="J27" s="23" t="n">
        <v>0</v>
      </c>
      <c r="K27" s="23" t="n">
        <v>557.42</v>
      </c>
      <c r="L27" s="23" t="n">
        <v>0</v>
      </c>
      <c r="M27" s="24" t="n">
        <f aca="false">SUM(H27:L27)</f>
        <v>936.43</v>
      </c>
      <c r="N27" s="24" t="n">
        <f aca="false">G27-M27</f>
        <v>474.44</v>
      </c>
      <c r="O27" s="25" t="n">
        <f aca="false">IFERROR(G27/F27,0)</f>
        <v>0.360191473066122</v>
      </c>
      <c r="P27" s="26"/>
    </row>
    <row r="28" customFormat="false" ht="15" hidden="false" customHeight="false" outlineLevel="0" collapsed="false">
      <c r="A28" s="17" t="n">
        <v>46349</v>
      </c>
      <c r="B28" s="18" t="n">
        <v>968</v>
      </c>
      <c r="C28" s="18" t="n">
        <v>2419</v>
      </c>
      <c r="D28" s="18" t="n">
        <v>0</v>
      </c>
      <c r="E28" s="18" t="n">
        <v>0</v>
      </c>
      <c r="F28" s="19" t="n">
        <f aca="false">B28+C28+D28+E28</f>
        <v>3387</v>
      </c>
      <c r="G28" s="18" t="n">
        <v>1277.74</v>
      </c>
      <c r="H28" s="18" t="n">
        <v>76.5</v>
      </c>
      <c r="I28" s="18" t="n">
        <v>302.51</v>
      </c>
      <c r="J28" s="18" t="n">
        <v>0</v>
      </c>
      <c r="K28" s="18" t="n">
        <v>557.42</v>
      </c>
      <c r="L28" s="18" t="n">
        <v>0</v>
      </c>
      <c r="M28" s="19" t="n">
        <f aca="false">SUM(H28:L28)</f>
        <v>936.43</v>
      </c>
      <c r="N28" s="19" t="n">
        <f aca="false">G28-M28</f>
        <v>341.31</v>
      </c>
      <c r="O28" s="20" t="n">
        <f aca="false">IFERROR(G28/F28,0)</f>
        <v>0.377248302332448</v>
      </c>
      <c r="P28" s="21"/>
    </row>
    <row r="29" customFormat="false" ht="15" hidden="false" customHeight="false" outlineLevel="0" collapsed="false">
      <c r="A29" s="22" t="n">
        <v>46350</v>
      </c>
      <c r="B29" s="23" t="n">
        <v>1010</v>
      </c>
      <c r="C29" s="23" t="n">
        <v>2608</v>
      </c>
      <c r="D29" s="23" t="n">
        <v>0</v>
      </c>
      <c r="E29" s="23" t="n">
        <v>0</v>
      </c>
      <c r="F29" s="24" t="n">
        <f aca="false">B29+C29+D29+E29</f>
        <v>3618</v>
      </c>
      <c r="G29" s="23" t="n">
        <v>1281.73</v>
      </c>
      <c r="H29" s="23" t="n">
        <v>76.5</v>
      </c>
      <c r="I29" s="23" t="n">
        <v>302.51</v>
      </c>
      <c r="J29" s="23" t="n">
        <v>0</v>
      </c>
      <c r="K29" s="23" t="n">
        <v>557.42</v>
      </c>
      <c r="L29" s="23" t="n">
        <v>0</v>
      </c>
      <c r="M29" s="24" t="n">
        <f aca="false">SUM(H29:L29)</f>
        <v>936.43</v>
      </c>
      <c r="N29" s="24" t="n">
        <f aca="false">G29-M29</f>
        <v>345.3</v>
      </c>
      <c r="O29" s="25" t="n">
        <f aca="false">IFERROR(G29/F29,0)</f>
        <v>0.354264787175235</v>
      </c>
      <c r="P29" s="26"/>
    </row>
    <row r="30" customFormat="false" ht="15" hidden="false" customHeight="false" outlineLevel="0" collapsed="false">
      <c r="A30" s="17" t="n">
        <v>46351</v>
      </c>
      <c r="B30" s="18" t="n">
        <v>1342</v>
      </c>
      <c r="C30" s="18" t="n">
        <v>2330</v>
      </c>
      <c r="D30" s="18" t="n">
        <v>0</v>
      </c>
      <c r="E30" s="18" t="n">
        <v>0</v>
      </c>
      <c r="F30" s="19" t="n">
        <f aca="false">B30+C30+D30+E30</f>
        <v>3672</v>
      </c>
      <c r="G30" s="18" t="n">
        <v>1330.18</v>
      </c>
      <c r="H30" s="18" t="n">
        <v>76.5</v>
      </c>
      <c r="I30" s="18" t="n">
        <v>302.51</v>
      </c>
      <c r="J30" s="18" t="n">
        <v>0</v>
      </c>
      <c r="K30" s="18" t="n">
        <v>557.42</v>
      </c>
      <c r="L30" s="18" t="n">
        <v>0</v>
      </c>
      <c r="M30" s="19" t="n">
        <f aca="false">SUM(H30:L30)</f>
        <v>936.43</v>
      </c>
      <c r="N30" s="19" t="n">
        <f aca="false">G30-M30</f>
        <v>393.75</v>
      </c>
      <c r="O30" s="20" t="n">
        <f aca="false">IFERROR(G30/F30,0)</f>
        <v>0.362249455337691</v>
      </c>
      <c r="P30" s="21"/>
    </row>
    <row r="31" customFormat="false" ht="15" hidden="false" customHeight="false" outlineLevel="0" collapsed="false">
      <c r="A31" s="22" t="n">
        <v>46352</v>
      </c>
      <c r="B31" s="23" t="n">
        <v>1090</v>
      </c>
      <c r="C31" s="23" t="n">
        <v>2885</v>
      </c>
      <c r="D31" s="23" t="n">
        <v>0</v>
      </c>
      <c r="E31" s="23" t="n">
        <v>0</v>
      </c>
      <c r="F31" s="24" t="n">
        <f aca="false">B31+C31+D31+E31</f>
        <v>3975</v>
      </c>
      <c r="G31" s="23" t="n">
        <v>1256</v>
      </c>
      <c r="H31" s="23" t="n">
        <v>76.5</v>
      </c>
      <c r="I31" s="23" t="n">
        <v>302.51</v>
      </c>
      <c r="J31" s="23" t="n">
        <v>0</v>
      </c>
      <c r="K31" s="23" t="n">
        <v>557.42</v>
      </c>
      <c r="L31" s="23" t="n">
        <v>0</v>
      </c>
      <c r="M31" s="24" t="n">
        <f aca="false">SUM(H31:L31)</f>
        <v>936.43</v>
      </c>
      <c r="N31" s="24" t="n">
        <f aca="false">G31-M31</f>
        <v>319.57</v>
      </c>
      <c r="O31" s="25" t="n">
        <f aca="false">IFERROR(G31/F31,0)</f>
        <v>0.315974842767296</v>
      </c>
      <c r="P31" s="26"/>
    </row>
    <row r="32" customFormat="false" ht="15" hidden="false" customHeight="false" outlineLevel="0" collapsed="false">
      <c r="A32" s="17" t="n">
        <v>46353</v>
      </c>
      <c r="B32" s="18" t="n">
        <v>1491</v>
      </c>
      <c r="C32" s="18" t="n">
        <v>4291</v>
      </c>
      <c r="D32" s="18" t="n">
        <v>0</v>
      </c>
      <c r="E32" s="18" t="n">
        <v>0</v>
      </c>
      <c r="F32" s="19" t="n">
        <f aca="false">B32+C32+D32+E32</f>
        <v>5782</v>
      </c>
      <c r="G32" s="18" t="n">
        <v>1956.9</v>
      </c>
      <c r="H32" s="18" t="n">
        <v>76.5</v>
      </c>
      <c r="I32" s="18" t="n">
        <v>302.51</v>
      </c>
      <c r="J32" s="18" t="n">
        <v>0</v>
      </c>
      <c r="K32" s="18" t="n">
        <v>557.42</v>
      </c>
      <c r="L32" s="18" t="n">
        <v>0</v>
      </c>
      <c r="M32" s="19" t="n">
        <f aca="false">SUM(H32:L32)</f>
        <v>936.43</v>
      </c>
      <c r="N32" s="19" t="n">
        <f aca="false">G32-M32</f>
        <v>1020.47</v>
      </c>
      <c r="O32" s="20" t="n">
        <f aca="false">IFERROR(G32/F32,0)</f>
        <v>0.338446904185403</v>
      </c>
      <c r="P32" s="21"/>
    </row>
    <row r="33" customFormat="false" ht="15" hidden="false" customHeight="false" outlineLevel="0" collapsed="false">
      <c r="A33" s="22" t="n">
        <v>46354</v>
      </c>
      <c r="B33" s="23" t="n">
        <v>1878</v>
      </c>
      <c r="C33" s="23" t="n">
        <v>3388</v>
      </c>
      <c r="D33" s="23" t="n">
        <v>0</v>
      </c>
      <c r="E33" s="23" t="n">
        <v>0</v>
      </c>
      <c r="F33" s="24" t="n">
        <f aca="false">B33+C33+D33+E33</f>
        <v>5266</v>
      </c>
      <c r="G33" s="23" t="n">
        <v>1797.14</v>
      </c>
      <c r="H33" s="23" t="n">
        <v>76.5</v>
      </c>
      <c r="I33" s="23" t="n">
        <v>302.51</v>
      </c>
      <c r="J33" s="23" t="n">
        <v>13</v>
      </c>
      <c r="K33" s="23" t="n">
        <v>557.42</v>
      </c>
      <c r="L33" s="23" t="n">
        <v>0</v>
      </c>
      <c r="M33" s="24" t="n">
        <f aca="false">SUM(H33:L33)</f>
        <v>949.43</v>
      </c>
      <c r="N33" s="24" t="n">
        <f aca="false">G33-M33</f>
        <v>847.71</v>
      </c>
      <c r="O33" s="25" t="n">
        <f aca="false">IFERROR(G33/F33,0)</f>
        <v>0.341272312951006</v>
      </c>
      <c r="P33" s="26"/>
    </row>
    <row r="34" customFormat="false" ht="15" hidden="false" customHeight="false" outlineLevel="0" collapsed="false">
      <c r="A34" s="17" t="n">
        <v>46355</v>
      </c>
      <c r="B34" s="18" t="n">
        <v>0</v>
      </c>
      <c r="C34" s="18" t="n">
        <v>0</v>
      </c>
      <c r="D34" s="18" t="n">
        <v>0</v>
      </c>
      <c r="E34" s="18" t="n">
        <v>0</v>
      </c>
      <c r="F34" s="19" t="n">
        <f aca="false">B34+C34+D34+E34</f>
        <v>0</v>
      </c>
      <c r="G34" s="18" t="n">
        <v>0</v>
      </c>
      <c r="H34" s="18" t="n">
        <v>76.5</v>
      </c>
      <c r="I34" s="18" t="n">
        <v>302.51</v>
      </c>
      <c r="J34" s="18" t="n">
        <v>0</v>
      </c>
      <c r="K34" s="18" t="n">
        <v>0</v>
      </c>
      <c r="L34" s="18" t="n">
        <v>0</v>
      </c>
      <c r="M34" s="19" t="n">
        <f aca="false">SUM(H34:L34)</f>
        <v>379.01</v>
      </c>
      <c r="N34" s="19" t="n">
        <f aca="false">G34-M34</f>
        <v>-379.01</v>
      </c>
      <c r="O34" s="20" t="n">
        <f aca="false">IFERROR(G34/F34,0)</f>
        <v>0</v>
      </c>
      <c r="P34" s="21" t="s">
        <v>50</v>
      </c>
    </row>
    <row r="35" customFormat="false" ht="15" hidden="false" customHeight="false" outlineLevel="0" collapsed="false">
      <c r="A35" s="22" t="n">
        <v>46356</v>
      </c>
      <c r="B35" s="23" t="n">
        <v>774</v>
      </c>
      <c r="C35" s="23" t="n">
        <v>2162</v>
      </c>
      <c r="D35" s="23" t="n">
        <v>0</v>
      </c>
      <c r="E35" s="23" t="n">
        <v>0</v>
      </c>
      <c r="F35" s="24" t="n">
        <f aca="false">B35+C35+D35+E35</f>
        <v>2936</v>
      </c>
      <c r="G35" s="23" t="n">
        <v>1094.66</v>
      </c>
      <c r="H35" s="23" t="n">
        <v>76.5</v>
      </c>
      <c r="I35" s="23" t="n">
        <v>302.51</v>
      </c>
      <c r="J35" s="23" t="n">
        <v>0</v>
      </c>
      <c r="K35" s="23" t="n">
        <v>557.42</v>
      </c>
      <c r="L35" s="23" t="n">
        <v>0</v>
      </c>
      <c r="M35" s="24" t="n">
        <f aca="false">SUM(H35:L35)</f>
        <v>936.43</v>
      </c>
      <c r="N35" s="24" t="n">
        <f aca="false">G35-M35</f>
        <v>158.23</v>
      </c>
      <c r="O35" s="25" t="n">
        <f aca="false">IFERROR(G35/F35,0)</f>
        <v>0.372840599455041</v>
      </c>
      <c r="P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8" customFormat="false" ht="15" hidden="false" customHeight="false" outlineLevel="0" collapsed="false">
      <c r="A38" s="27" t="s">
        <v>51</v>
      </c>
      <c r="B38" s="28" t="n">
        <f aca="false">SUM(B6:B36)</f>
        <v>39106</v>
      </c>
      <c r="C38" s="28" t="n">
        <f aca="false">SUM(C6:C36)</f>
        <v>78895</v>
      </c>
      <c r="D38" s="28" t="n">
        <f aca="false">SUM(D6:D36)</f>
        <v>-1809</v>
      </c>
      <c r="E38" s="28" t="n">
        <f aca="false">SUM(E6:E36)</f>
        <v>2180</v>
      </c>
      <c r="F38" s="28" t="n">
        <f aca="false">SUM(F6:F36)</f>
        <v>118372</v>
      </c>
      <c r="G38" s="28" t="n">
        <f aca="false">SUM(G6:G36)</f>
        <v>40816.18</v>
      </c>
      <c r="H38" s="28" t="n">
        <f aca="false">SUM(H6:H36)</f>
        <v>2295</v>
      </c>
      <c r="I38" s="28" t="n">
        <f aca="false">SUM(I6:I36)</f>
        <v>9075.3</v>
      </c>
      <c r="J38" s="28" t="n">
        <f aca="false">SUM(J6:J36)</f>
        <v>148</v>
      </c>
      <c r="K38" s="28" t="n">
        <f aca="false">SUM(K6:K36)</f>
        <v>16165.18</v>
      </c>
      <c r="L38" s="28" t="n">
        <f aca="false">SUM(L6:L36)</f>
        <v>162</v>
      </c>
      <c r="M38" s="28" t="n">
        <f aca="false">SUM(M6:M36)</f>
        <v>27845.48</v>
      </c>
      <c r="N38" s="28" t="n">
        <f aca="false">SUM(N6:N36)</f>
        <v>12970.7</v>
      </c>
      <c r="O38" s="29" t="n">
        <f aca="false">IFERROR(G38/F38,0)</f>
        <v>0.344812793566046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46357</v>
      </c>
      <c r="B6" s="18" t="n">
        <v>1183</v>
      </c>
      <c r="C6" s="18" t="n">
        <v>2723</v>
      </c>
      <c r="D6" s="18" t="n">
        <v>0</v>
      </c>
      <c r="E6" s="18" t="n">
        <v>0</v>
      </c>
      <c r="F6" s="19" t="n">
        <f aca="false">B6+C6+D6+E6</f>
        <v>3906</v>
      </c>
      <c r="G6" s="18" t="n">
        <v>1350.12</v>
      </c>
      <c r="H6" s="18" t="n">
        <v>72.03</v>
      </c>
      <c r="I6" s="18" t="n">
        <v>336.68</v>
      </c>
      <c r="J6" s="18" t="n">
        <v>0</v>
      </c>
      <c r="K6" s="18" t="n">
        <v>500.31</v>
      </c>
      <c r="L6" s="18" t="n">
        <v>0</v>
      </c>
      <c r="M6" s="19" t="n">
        <f aca="false">SUM(H6:L6)</f>
        <v>909.02</v>
      </c>
      <c r="N6" s="19" t="n">
        <f aca="false">G6-M6</f>
        <v>441.1</v>
      </c>
      <c r="O6" s="20" t="n">
        <f aca="false">IFERROR(G6/F6,0)</f>
        <v>0.345652841781874</v>
      </c>
      <c r="P6" s="21"/>
    </row>
    <row r="7" customFormat="false" ht="15" hidden="false" customHeight="false" outlineLevel="0" collapsed="false">
      <c r="A7" s="22" t="n">
        <v>46358</v>
      </c>
      <c r="B7" s="23" t="n">
        <v>1353</v>
      </c>
      <c r="C7" s="23" t="n">
        <v>2766</v>
      </c>
      <c r="D7" s="23" t="n">
        <v>0</v>
      </c>
      <c r="E7" s="23" t="n">
        <v>0</v>
      </c>
      <c r="F7" s="24" t="n">
        <f aca="false">B7+C7+D7+E7</f>
        <v>4119</v>
      </c>
      <c r="G7" s="23" t="n">
        <v>1354.53</v>
      </c>
      <c r="H7" s="23" t="n">
        <v>72.03</v>
      </c>
      <c r="I7" s="23" t="n">
        <v>336.68</v>
      </c>
      <c r="J7" s="23" t="n">
        <v>0</v>
      </c>
      <c r="K7" s="23" t="n">
        <v>500.31</v>
      </c>
      <c r="L7" s="23" t="n">
        <v>0</v>
      </c>
      <c r="M7" s="24" t="n">
        <f aca="false">SUM(H7:L7)</f>
        <v>909.02</v>
      </c>
      <c r="N7" s="24" t="n">
        <f aca="false">G7-M7</f>
        <v>445.51</v>
      </c>
      <c r="O7" s="25" t="n">
        <f aca="false">IFERROR(G7/F7,0)</f>
        <v>0.328849235251275</v>
      </c>
      <c r="P7" s="26"/>
    </row>
    <row r="8" customFormat="false" ht="15" hidden="false" customHeight="false" outlineLevel="0" collapsed="false">
      <c r="A8" s="17" t="n">
        <v>46359</v>
      </c>
      <c r="B8" s="18" t="n">
        <v>1332</v>
      </c>
      <c r="C8" s="18" t="n">
        <v>2289</v>
      </c>
      <c r="D8" s="18" t="n">
        <v>0</v>
      </c>
      <c r="E8" s="18" t="n">
        <v>0</v>
      </c>
      <c r="F8" s="19" t="n">
        <f aca="false">B8+C8+D8+E8</f>
        <v>3621</v>
      </c>
      <c r="G8" s="18" t="n">
        <v>1233.35</v>
      </c>
      <c r="H8" s="18" t="n">
        <v>72.03</v>
      </c>
      <c r="I8" s="18" t="n">
        <v>336.68</v>
      </c>
      <c r="J8" s="18" t="n">
        <v>131</v>
      </c>
      <c r="K8" s="18" t="n">
        <v>500.31</v>
      </c>
      <c r="L8" s="18" t="n">
        <v>39</v>
      </c>
      <c r="M8" s="19" t="n">
        <f aca="false">SUM(H8:L8)</f>
        <v>1079.02</v>
      </c>
      <c r="N8" s="19" t="n">
        <f aca="false">G8-M8</f>
        <v>154.33</v>
      </c>
      <c r="O8" s="20" t="n">
        <f aca="false">IFERROR(G8/F8,0)</f>
        <v>0.340610328638498</v>
      </c>
      <c r="P8" s="21"/>
    </row>
    <row r="9" customFormat="false" ht="15" hidden="false" customHeight="false" outlineLevel="0" collapsed="false">
      <c r="A9" s="22" t="n">
        <v>46360</v>
      </c>
      <c r="B9" s="23" t="n">
        <v>2072</v>
      </c>
      <c r="C9" s="23" t="n">
        <v>4699</v>
      </c>
      <c r="D9" s="23" t="n">
        <v>0</v>
      </c>
      <c r="E9" s="23" t="n">
        <v>0</v>
      </c>
      <c r="F9" s="24" t="n">
        <f aca="false">B9+C9+D9+E9</f>
        <v>6771</v>
      </c>
      <c r="G9" s="23" t="n">
        <v>2436.11</v>
      </c>
      <c r="H9" s="23" t="n">
        <v>72.03</v>
      </c>
      <c r="I9" s="23" t="n">
        <v>336.68</v>
      </c>
      <c r="J9" s="23" t="n">
        <v>0</v>
      </c>
      <c r="K9" s="23" t="n">
        <v>500.31</v>
      </c>
      <c r="L9" s="23" t="n">
        <v>24</v>
      </c>
      <c r="M9" s="24" t="n">
        <f aca="false">SUM(H9:L9)</f>
        <v>933.02</v>
      </c>
      <c r="N9" s="24" t="n">
        <f aca="false">G9-M9</f>
        <v>1503.09</v>
      </c>
      <c r="O9" s="25" t="n">
        <f aca="false">IFERROR(G9/F9,0)</f>
        <v>0.359785851425196</v>
      </c>
      <c r="P9" s="26"/>
    </row>
    <row r="10" customFormat="false" ht="15" hidden="false" customHeight="false" outlineLevel="0" collapsed="false">
      <c r="A10" s="17" t="n">
        <v>46361</v>
      </c>
      <c r="B10" s="18" t="n">
        <v>1956</v>
      </c>
      <c r="C10" s="18" t="n">
        <v>3655</v>
      </c>
      <c r="D10" s="18" t="n">
        <v>0</v>
      </c>
      <c r="E10" s="18" t="n">
        <v>0</v>
      </c>
      <c r="F10" s="19" t="n">
        <f aca="false">B10+C10+D10+E10</f>
        <v>5611</v>
      </c>
      <c r="G10" s="18" t="n">
        <v>1729.83</v>
      </c>
      <c r="H10" s="18" t="n">
        <v>72.03</v>
      </c>
      <c r="I10" s="18" t="n">
        <v>336.68</v>
      </c>
      <c r="J10" s="18" t="n">
        <v>0</v>
      </c>
      <c r="K10" s="18" t="n">
        <v>500.31</v>
      </c>
      <c r="L10" s="18" t="n">
        <v>0</v>
      </c>
      <c r="M10" s="19" t="n">
        <f aca="false">SUM(H10:L10)</f>
        <v>909.02</v>
      </c>
      <c r="N10" s="19" t="n">
        <f aca="false">G10-M10</f>
        <v>820.81</v>
      </c>
      <c r="O10" s="20" t="n">
        <f aca="false">IFERROR(G10/F10,0)</f>
        <v>0.308292639458207</v>
      </c>
      <c r="P10" s="21"/>
    </row>
    <row r="11" customFormat="false" ht="15" hidden="false" customHeight="false" outlineLevel="0" collapsed="false">
      <c r="A11" s="22" t="n">
        <v>46362</v>
      </c>
      <c r="B11" s="23" t="n">
        <v>856</v>
      </c>
      <c r="C11" s="23" t="n">
        <v>2313</v>
      </c>
      <c r="D11" s="23" t="n">
        <v>0</v>
      </c>
      <c r="E11" s="23" t="n">
        <v>0</v>
      </c>
      <c r="F11" s="24" t="n">
        <f aca="false">B11+C11+D11+E11</f>
        <v>3169</v>
      </c>
      <c r="G11" s="23" t="n">
        <v>1040.01</v>
      </c>
      <c r="H11" s="23" t="n">
        <v>72.03</v>
      </c>
      <c r="I11" s="23" t="n">
        <v>336.68</v>
      </c>
      <c r="J11" s="23" t="n">
        <v>0</v>
      </c>
      <c r="K11" s="23" t="n">
        <v>500.31</v>
      </c>
      <c r="L11" s="23" t="n">
        <v>0</v>
      </c>
      <c r="M11" s="24" t="n">
        <f aca="false">SUM(H11:L11)</f>
        <v>909.02</v>
      </c>
      <c r="N11" s="24" t="n">
        <f aca="false">G11-M11</f>
        <v>130.99</v>
      </c>
      <c r="O11" s="25" t="n">
        <f aca="false">IFERROR(G11/F11,0)</f>
        <v>0.328182391921742</v>
      </c>
      <c r="P11" s="26"/>
    </row>
    <row r="12" customFormat="false" ht="15" hidden="false" customHeight="false" outlineLevel="0" collapsed="false">
      <c r="A12" s="17" t="n">
        <v>46363</v>
      </c>
      <c r="B12" s="18" t="n">
        <v>1305</v>
      </c>
      <c r="C12" s="18" t="n">
        <v>2179</v>
      </c>
      <c r="D12" s="18" t="n">
        <v>0</v>
      </c>
      <c r="E12" s="18" t="n">
        <v>0</v>
      </c>
      <c r="F12" s="19" t="n">
        <f aca="false">B12+C12+D12+E12</f>
        <v>3484</v>
      </c>
      <c r="G12" s="18" t="n">
        <v>1236.03</v>
      </c>
      <c r="H12" s="18" t="n">
        <v>72.03</v>
      </c>
      <c r="I12" s="18" t="n">
        <v>336.68</v>
      </c>
      <c r="J12" s="18" t="n">
        <v>0</v>
      </c>
      <c r="K12" s="18" t="n">
        <v>500.31</v>
      </c>
      <c r="L12" s="18" t="n">
        <v>0</v>
      </c>
      <c r="M12" s="19" t="n">
        <f aca="false">SUM(H12:L12)</f>
        <v>909.02</v>
      </c>
      <c r="N12" s="19" t="n">
        <f aca="false">G12-M12</f>
        <v>327.01</v>
      </c>
      <c r="O12" s="20" t="n">
        <f aca="false">IFERROR(G12/F12,0)</f>
        <v>0.354773249138921</v>
      </c>
      <c r="P12" s="21"/>
    </row>
    <row r="13" customFormat="false" ht="15" hidden="false" customHeight="false" outlineLevel="0" collapsed="false">
      <c r="A13" s="22" t="n">
        <v>46364</v>
      </c>
      <c r="B13" s="23" t="n">
        <v>1518</v>
      </c>
      <c r="C13" s="23" t="n">
        <v>3957</v>
      </c>
      <c r="D13" s="23" t="n">
        <v>0</v>
      </c>
      <c r="E13" s="23" t="n">
        <v>507</v>
      </c>
      <c r="F13" s="24" t="n">
        <f aca="false">B13+C13+D13+E13</f>
        <v>5982</v>
      </c>
      <c r="G13" s="23" t="n">
        <v>2137.27</v>
      </c>
      <c r="H13" s="23" t="n">
        <v>72.03</v>
      </c>
      <c r="I13" s="23" t="n">
        <v>336.68</v>
      </c>
      <c r="J13" s="23" t="n">
        <v>0</v>
      </c>
      <c r="K13" s="23" t="n">
        <v>500.31</v>
      </c>
      <c r="L13" s="23" t="n">
        <v>20</v>
      </c>
      <c r="M13" s="24" t="n">
        <f aca="false">SUM(H13:L13)</f>
        <v>929.02</v>
      </c>
      <c r="N13" s="24" t="n">
        <f aca="false">G13-M13</f>
        <v>1208.25</v>
      </c>
      <c r="O13" s="25" t="n">
        <f aca="false">IFERROR(G13/F13,0)</f>
        <v>0.357283517218322</v>
      </c>
      <c r="P13" s="26"/>
    </row>
    <row r="14" customFormat="false" ht="15" hidden="false" customHeight="false" outlineLevel="0" collapsed="false">
      <c r="A14" s="17" t="n">
        <v>46365</v>
      </c>
      <c r="B14" s="18" t="n">
        <v>1647</v>
      </c>
      <c r="C14" s="18" t="n">
        <v>2820</v>
      </c>
      <c r="D14" s="18" t="n">
        <v>0</v>
      </c>
      <c r="E14" s="18" t="n">
        <v>0</v>
      </c>
      <c r="F14" s="19" t="n">
        <f aca="false">B14+C14+D14+E14</f>
        <v>4467</v>
      </c>
      <c r="G14" s="18" t="n">
        <v>1656.65</v>
      </c>
      <c r="H14" s="18" t="n">
        <v>72.03</v>
      </c>
      <c r="I14" s="18" t="n">
        <v>336.68</v>
      </c>
      <c r="J14" s="18" t="n">
        <v>0</v>
      </c>
      <c r="K14" s="18" t="n">
        <v>500.31</v>
      </c>
      <c r="L14" s="18" t="n">
        <v>0</v>
      </c>
      <c r="M14" s="19" t="n">
        <f aca="false">SUM(H14:L14)</f>
        <v>909.02</v>
      </c>
      <c r="N14" s="19" t="n">
        <f aca="false">G14-M14</f>
        <v>747.63</v>
      </c>
      <c r="O14" s="20" t="n">
        <f aca="false">IFERROR(G14/F14,0)</f>
        <v>0.370864114618312</v>
      </c>
      <c r="P14" s="21"/>
    </row>
    <row r="15" customFormat="false" ht="15" hidden="false" customHeight="false" outlineLevel="0" collapsed="false">
      <c r="A15" s="22" t="n">
        <v>46366</v>
      </c>
      <c r="B15" s="23" t="n">
        <v>1635</v>
      </c>
      <c r="C15" s="23" t="n">
        <v>3644</v>
      </c>
      <c r="D15" s="23" t="n">
        <v>0</v>
      </c>
      <c r="E15" s="23" t="n">
        <v>0</v>
      </c>
      <c r="F15" s="24" t="n">
        <f aca="false">B15+C15+D15+E15</f>
        <v>5279</v>
      </c>
      <c r="G15" s="23" t="n">
        <v>1928.06</v>
      </c>
      <c r="H15" s="23" t="n">
        <v>72.03</v>
      </c>
      <c r="I15" s="23" t="n">
        <v>336.68</v>
      </c>
      <c r="J15" s="23" t="n">
        <v>0</v>
      </c>
      <c r="K15" s="23" t="n">
        <v>500.31</v>
      </c>
      <c r="L15" s="23" t="n">
        <v>65</v>
      </c>
      <c r="M15" s="24" t="n">
        <f aca="false">SUM(H15:L15)</f>
        <v>974.02</v>
      </c>
      <c r="N15" s="24" t="n">
        <f aca="false">G15-M15</f>
        <v>954.04</v>
      </c>
      <c r="O15" s="25" t="n">
        <f aca="false">IFERROR(G15/F15,0)</f>
        <v>0.36523205152491</v>
      </c>
      <c r="P15" s="26"/>
    </row>
    <row r="16" customFormat="false" ht="15" hidden="false" customHeight="false" outlineLevel="0" collapsed="false">
      <c r="A16" s="17" t="n">
        <v>46367</v>
      </c>
      <c r="B16" s="18" t="n">
        <v>2023</v>
      </c>
      <c r="C16" s="18" t="n">
        <v>4883</v>
      </c>
      <c r="D16" s="18" t="n">
        <v>0</v>
      </c>
      <c r="E16" s="18" t="n">
        <v>0</v>
      </c>
      <c r="F16" s="19" t="n">
        <f aca="false">B16+C16+D16+E16</f>
        <v>6906</v>
      </c>
      <c r="G16" s="18" t="n">
        <v>2548.11</v>
      </c>
      <c r="H16" s="18" t="n">
        <v>72.03</v>
      </c>
      <c r="I16" s="18" t="n">
        <v>336.68</v>
      </c>
      <c r="J16" s="18" t="n">
        <v>98</v>
      </c>
      <c r="K16" s="18" t="n">
        <v>500.31</v>
      </c>
      <c r="L16" s="18" t="n">
        <v>0</v>
      </c>
      <c r="M16" s="19" t="n">
        <f aca="false">SUM(H16:L16)</f>
        <v>1007.02</v>
      </c>
      <c r="N16" s="19" t="n">
        <f aca="false">G16-M16</f>
        <v>1541.09</v>
      </c>
      <c r="O16" s="20" t="n">
        <f aca="false">IFERROR(G16/F16,0)</f>
        <v>0.368970460469157</v>
      </c>
      <c r="P16" s="21"/>
    </row>
    <row r="17" customFormat="false" ht="15" hidden="false" customHeight="false" outlineLevel="0" collapsed="false">
      <c r="A17" s="22" t="n">
        <v>46368</v>
      </c>
      <c r="B17" s="23" t="n">
        <v>0</v>
      </c>
      <c r="C17" s="23" t="n">
        <v>0</v>
      </c>
      <c r="D17" s="23" t="n">
        <v>0</v>
      </c>
      <c r="E17" s="23" t="n">
        <v>0</v>
      </c>
      <c r="F17" s="24" t="n">
        <f aca="false">B17+C17+D17+E17</f>
        <v>0</v>
      </c>
      <c r="G17" s="23" t="n">
        <v>0</v>
      </c>
      <c r="H17" s="23" t="n">
        <v>72.03</v>
      </c>
      <c r="I17" s="23" t="n">
        <v>336.68</v>
      </c>
      <c r="J17" s="23" t="n">
        <v>0</v>
      </c>
      <c r="K17" s="23" t="n">
        <v>0</v>
      </c>
      <c r="L17" s="23" t="n">
        <v>0</v>
      </c>
      <c r="M17" s="24" t="n">
        <f aca="false">SUM(H17:L17)</f>
        <v>408.71</v>
      </c>
      <c r="N17" s="24" t="n">
        <f aca="false">G17-M17</f>
        <v>-408.71</v>
      </c>
      <c r="O17" s="25" t="n">
        <f aca="false">IFERROR(G17/F17,0)</f>
        <v>0</v>
      </c>
      <c r="P17" s="26" t="s">
        <v>50</v>
      </c>
    </row>
    <row r="18" customFormat="false" ht="15" hidden="false" customHeight="false" outlineLevel="0" collapsed="false">
      <c r="A18" s="17" t="n">
        <v>46369</v>
      </c>
      <c r="B18" s="18" t="n">
        <v>1287</v>
      </c>
      <c r="C18" s="18" t="n">
        <v>2785</v>
      </c>
      <c r="D18" s="18" t="n">
        <v>0</v>
      </c>
      <c r="E18" s="18" t="n">
        <v>0</v>
      </c>
      <c r="F18" s="19" t="n">
        <f aca="false">B18+C18+D18+E18</f>
        <v>4072</v>
      </c>
      <c r="G18" s="18" t="n">
        <v>1533.18</v>
      </c>
      <c r="H18" s="18" t="n">
        <v>72.03</v>
      </c>
      <c r="I18" s="18" t="n">
        <v>336.68</v>
      </c>
      <c r="J18" s="18" t="n">
        <v>0</v>
      </c>
      <c r="K18" s="18" t="n">
        <v>500.31</v>
      </c>
      <c r="L18" s="18" t="n">
        <v>0</v>
      </c>
      <c r="M18" s="19" t="n">
        <f aca="false">SUM(H18:L18)</f>
        <v>909.02</v>
      </c>
      <c r="N18" s="19" t="n">
        <f aca="false">G18-M18</f>
        <v>624.16</v>
      </c>
      <c r="O18" s="20" t="n">
        <f aca="false">IFERROR(G18/F18,0)</f>
        <v>0.37651768172888</v>
      </c>
      <c r="P18" s="21"/>
    </row>
    <row r="19" customFormat="false" ht="15" hidden="false" customHeight="false" outlineLevel="0" collapsed="false">
      <c r="A19" s="22" t="n">
        <v>46370</v>
      </c>
      <c r="B19" s="23" t="n">
        <v>1928</v>
      </c>
      <c r="C19" s="23" t="n">
        <v>3521</v>
      </c>
      <c r="D19" s="23" t="n">
        <v>0</v>
      </c>
      <c r="E19" s="23" t="n">
        <v>0</v>
      </c>
      <c r="F19" s="24" t="n">
        <f aca="false">B19+C19+D19+E19</f>
        <v>5449</v>
      </c>
      <c r="G19" s="23" t="n">
        <v>1794.83</v>
      </c>
      <c r="H19" s="23" t="n">
        <v>72.03</v>
      </c>
      <c r="I19" s="23" t="n">
        <v>336.68</v>
      </c>
      <c r="J19" s="23" t="n">
        <v>0</v>
      </c>
      <c r="K19" s="23" t="n">
        <v>500.31</v>
      </c>
      <c r="L19" s="23" t="n">
        <v>0</v>
      </c>
      <c r="M19" s="24" t="n">
        <f aca="false">SUM(H19:L19)</f>
        <v>909.02</v>
      </c>
      <c r="N19" s="24" t="n">
        <f aca="false">G19-M19</f>
        <v>885.81</v>
      </c>
      <c r="O19" s="25" t="n">
        <f aca="false">IFERROR(G19/F19,0)</f>
        <v>0.329387043494219</v>
      </c>
      <c r="P19" s="26"/>
    </row>
    <row r="20" customFormat="false" ht="15" hidden="false" customHeight="false" outlineLevel="0" collapsed="false">
      <c r="A20" s="17" t="n">
        <v>46371</v>
      </c>
      <c r="B20" s="18" t="n">
        <v>903</v>
      </c>
      <c r="C20" s="18" t="n">
        <v>2537</v>
      </c>
      <c r="D20" s="18" t="n">
        <v>0</v>
      </c>
      <c r="E20" s="18" t="n">
        <v>0</v>
      </c>
      <c r="F20" s="19" t="n">
        <f aca="false">B20+C20+D20+E20</f>
        <v>3440</v>
      </c>
      <c r="G20" s="18" t="n">
        <v>1148.82</v>
      </c>
      <c r="H20" s="18" t="n">
        <v>72.03</v>
      </c>
      <c r="I20" s="18" t="n">
        <v>336.68</v>
      </c>
      <c r="J20" s="18" t="n">
        <v>0</v>
      </c>
      <c r="K20" s="18" t="n">
        <v>500.31</v>
      </c>
      <c r="L20" s="18" t="n">
        <v>0</v>
      </c>
      <c r="M20" s="19" t="n">
        <f aca="false">SUM(H20:L20)</f>
        <v>909.02</v>
      </c>
      <c r="N20" s="19" t="n">
        <f aca="false">G20-M20</f>
        <v>239.8</v>
      </c>
      <c r="O20" s="20" t="n">
        <f aca="false">IFERROR(G20/F20,0)</f>
        <v>0.333959302325581</v>
      </c>
      <c r="P20" s="21"/>
    </row>
    <row r="21" customFormat="false" ht="15" hidden="false" customHeight="false" outlineLevel="0" collapsed="false">
      <c r="A21" s="22" t="n">
        <v>46372</v>
      </c>
      <c r="B21" s="23" t="n">
        <v>1076</v>
      </c>
      <c r="C21" s="23" t="n">
        <v>2809</v>
      </c>
      <c r="D21" s="23" t="n">
        <v>0</v>
      </c>
      <c r="E21" s="23" t="n">
        <v>0</v>
      </c>
      <c r="F21" s="24" t="n">
        <f aca="false">B21+C21+D21+E21</f>
        <v>3885</v>
      </c>
      <c r="G21" s="23" t="n">
        <v>1256.8</v>
      </c>
      <c r="H21" s="23" t="n">
        <v>72.03</v>
      </c>
      <c r="I21" s="23" t="n">
        <v>336.68</v>
      </c>
      <c r="J21" s="23" t="n">
        <v>49</v>
      </c>
      <c r="K21" s="23" t="n">
        <v>500.31</v>
      </c>
      <c r="L21" s="23" t="n">
        <v>0</v>
      </c>
      <c r="M21" s="24" t="n">
        <f aca="false">SUM(H21:L21)</f>
        <v>958.02</v>
      </c>
      <c r="N21" s="24" t="n">
        <f aca="false">G21-M21</f>
        <v>298.78</v>
      </c>
      <c r="O21" s="25" t="n">
        <f aca="false">IFERROR(G21/F21,0)</f>
        <v>0.323500643500644</v>
      </c>
      <c r="P21" s="26"/>
    </row>
    <row r="22" customFormat="false" ht="15" hidden="false" customHeight="false" outlineLevel="0" collapsed="false">
      <c r="A22" s="17" t="n">
        <v>46373</v>
      </c>
      <c r="B22" s="18" t="n">
        <v>1184</v>
      </c>
      <c r="C22" s="18" t="n">
        <v>2552</v>
      </c>
      <c r="D22" s="18" t="n">
        <v>0</v>
      </c>
      <c r="E22" s="18" t="n">
        <v>0</v>
      </c>
      <c r="F22" s="19" t="n">
        <f aca="false">B22+C22+D22+E22</f>
        <v>3736</v>
      </c>
      <c r="G22" s="18" t="n">
        <v>1335.3</v>
      </c>
      <c r="H22" s="18" t="n">
        <v>72.03</v>
      </c>
      <c r="I22" s="18" t="n">
        <v>336.68</v>
      </c>
      <c r="J22" s="18" t="n">
        <v>0</v>
      </c>
      <c r="K22" s="18" t="n">
        <v>500.31</v>
      </c>
      <c r="L22" s="18" t="n">
        <v>0</v>
      </c>
      <c r="M22" s="19" t="n">
        <f aca="false">SUM(H22:L22)</f>
        <v>909.02</v>
      </c>
      <c r="N22" s="19" t="n">
        <f aca="false">G22-M22</f>
        <v>426.28</v>
      </c>
      <c r="O22" s="20" t="n">
        <f aca="false">IFERROR(G22/F22,0)</f>
        <v>0.357414346895075</v>
      </c>
      <c r="P22" s="21"/>
    </row>
    <row r="23" customFormat="false" ht="15" hidden="false" customHeight="false" outlineLevel="0" collapsed="false">
      <c r="A23" s="22" t="n">
        <v>46374</v>
      </c>
      <c r="B23" s="23" t="n">
        <v>2366</v>
      </c>
      <c r="C23" s="23" t="n">
        <v>5095</v>
      </c>
      <c r="D23" s="23" t="n">
        <v>0</v>
      </c>
      <c r="E23" s="23" t="n">
        <v>0</v>
      </c>
      <c r="F23" s="24" t="n">
        <f aca="false">B23+C23+D23+E23</f>
        <v>7461</v>
      </c>
      <c r="G23" s="23" t="n">
        <v>2672.12</v>
      </c>
      <c r="H23" s="23" t="n">
        <v>72.03</v>
      </c>
      <c r="I23" s="23" t="n">
        <v>336.68</v>
      </c>
      <c r="J23" s="23" t="n">
        <v>0</v>
      </c>
      <c r="K23" s="23" t="n">
        <v>500.31</v>
      </c>
      <c r="L23" s="23" t="n">
        <v>0</v>
      </c>
      <c r="M23" s="24" t="n">
        <f aca="false">SUM(H23:L23)</f>
        <v>909.02</v>
      </c>
      <c r="N23" s="24" t="n">
        <f aca="false">G23-M23</f>
        <v>1763.1</v>
      </c>
      <c r="O23" s="25" t="n">
        <f aca="false">IFERROR(G23/F23,0)</f>
        <v>0.358145020774695</v>
      </c>
      <c r="P23" s="26"/>
    </row>
    <row r="24" customFormat="false" ht="15" hidden="false" customHeight="false" outlineLevel="0" collapsed="false">
      <c r="A24" s="17" t="n">
        <v>46375</v>
      </c>
      <c r="B24" s="18" t="n">
        <v>2033</v>
      </c>
      <c r="C24" s="18" t="n">
        <v>4415</v>
      </c>
      <c r="D24" s="18" t="n">
        <v>0</v>
      </c>
      <c r="E24" s="18" t="n">
        <v>0</v>
      </c>
      <c r="F24" s="19" t="n">
        <f aca="false">B24+C24+D24+E24</f>
        <v>6448</v>
      </c>
      <c r="G24" s="18" t="n">
        <v>2264.26</v>
      </c>
      <c r="H24" s="18" t="n">
        <v>72.03</v>
      </c>
      <c r="I24" s="18" t="n">
        <v>336.68</v>
      </c>
      <c r="J24" s="18" t="n">
        <v>0</v>
      </c>
      <c r="K24" s="18" t="n">
        <v>500.31</v>
      </c>
      <c r="L24" s="18" t="n">
        <v>67</v>
      </c>
      <c r="M24" s="19" t="n">
        <f aca="false">SUM(H24:L24)</f>
        <v>976.02</v>
      </c>
      <c r="N24" s="19" t="n">
        <f aca="false">G24-M24</f>
        <v>1288.24</v>
      </c>
      <c r="O24" s="20" t="n">
        <f aca="false">IFERROR(G24/F24,0)</f>
        <v>0.351156947890819</v>
      </c>
      <c r="P24" s="21"/>
    </row>
    <row r="25" customFormat="false" ht="15" hidden="false" customHeight="false" outlineLevel="0" collapsed="false">
      <c r="A25" s="22" t="n">
        <v>46376</v>
      </c>
      <c r="B25" s="23" t="n">
        <v>1151</v>
      </c>
      <c r="C25" s="23" t="n">
        <v>2551</v>
      </c>
      <c r="D25" s="23" t="n">
        <v>-1431</v>
      </c>
      <c r="E25" s="23" t="n">
        <v>0</v>
      </c>
      <c r="F25" s="24" t="n">
        <f aca="false">B25+C25+D25+E25</f>
        <v>2271</v>
      </c>
      <c r="G25" s="23" t="n">
        <v>817.54</v>
      </c>
      <c r="H25" s="23" t="n">
        <v>72.03</v>
      </c>
      <c r="I25" s="23" t="n">
        <v>336.68</v>
      </c>
      <c r="J25" s="23" t="n">
        <v>0</v>
      </c>
      <c r="K25" s="23" t="n">
        <v>500.31</v>
      </c>
      <c r="L25" s="23" t="n">
        <v>85</v>
      </c>
      <c r="M25" s="24" t="n">
        <f aca="false">SUM(H25:L25)</f>
        <v>994.02</v>
      </c>
      <c r="N25" s="24" t="n">
        <f aca="false">G25-M25</f>
        <v>-176.48</v>
      </c>
      <c r="O25" s="25" t="n">
        <f aca="false">IFERROR(G25/F25,0)</f>
        <v>0.359991193306913</v>
      </c>
      <c r="P25" s="26"/>
    </row>
    <row r="26" customFormat="false" ht="15" hidden="false" customHeight="false" outlineLevel="0" collapsed="false">
      <c r="A26" s="17" t="n">
        <v>46377</v>
      </c>
      <c r="B26" s="18" t="n">
        <v>1813</v>
      </c>
      <c r="C26" s="18" t="n">
        <v>3342</v>
      </c>
      <c r="D26" s="18" t="n">
        <v>0</v>
      </c>
      <c r="E26" s="18" t="n">
        <v>0</v>
      </c>
      <c r="F26" s="19" t="n">
        <f aca="false">B26+C26+D26+E26</f>
        <v>5155</v>
      </c>
      <c r="G26" s="18" t="n">
        <v>1727.2</v>
      </c>
      <c r="H26" s="18" t="n">
        <v>72.03</v>
      </c>
      <c r="I26" s="18" t="n">
        <v>336.68</v>
      </c>
      <c r="J26" s="18" t="n">
        <v>35</v>
      </c>
      <c r="K26" s="18" t="n">
        <v>500.31</v>
      </c>
      <c r="L26" s="18" t="n">
        <v>0</v>
      </c>
      <c r="M26" s="19" t="n">
        <f aca="false">SUM(H26:L26)</f>
        <v>944.02</v>
      </c>
      <c r="N26" s="19" t="n">
        <f aca="false">G26-M26</f>
        <v>783.18</v>
      </c>
      <c r="O26" s="20" t="n">
        <f aca="false">IFERROR(G26/F26,0)</f>
        <v>0.335053346265761</v>
      </c>
      <c r="P26" s="21"/>
    </row>
    <row r="27" customFormat="false" ht="15" hidden="false" customHeight="false" outlineLevel="0" collapsed="false">
      <c r="A27" s="22" t="n">
        <v>46378</v>
      </c>
      <c r="B27" s="23" t="n">
        <v>1198</v>
      </c>
      <c r="C27" s="23" t="n">
        <v>2737</v>
      </c>
      <c r="D27" s="23" t="n">
        <v>0</v>
      </c>
      <c r="E27" s="23" t="n">
        <v>0</v>
      </c>
      <c r="F27" s="24" t="n">
        <f aca="false">B27+C27+D27+E27</f>
        <v>3935</v>
      </c>
      <c r="G27" s="23" t="n">
        <v>1479.39</v>
      </c>
      <c r="H27" s="23" t="n">
        <v>72.03</v>
      </c>
      <c r="I27" s="23" t="n">
        <v>336.68</v>
      </c>
      <c r="J27" s="23" t="n">
        <v>23</v>
      </c>
      <c r="K27" s="23" t="n">
        <v>500.31</v>
      </c>
      <c r="L27" s="23" t="n">
        <v>0</v>
      </c>
      <c r="M27" s="24" t="n">
        <f aca="false">SUM(H27:L27)</f>
        <v>932.02</v>
      </c>
      <c r="N27" s="24" t="n">
        <f aca="false">G27-M27</f>
        <v>547.37</v>
      </c>
      <c r="O27" s="25" t="n">
        <f aca="false">IFERROR(G27/F27,0)</f>
        <v>0.375956797966963</v>
      </c>
      <c r="P27" s="26"/>
    </row>
    <row r="28" customFormat="false" ht="15" hidden="false" customHeight="false" outlineLevel="0" collapsed="false">
      <c r="A28" s="17" t="n">
        <v>46379</v>
      </c>
      <c r="B28" s="18" t="n">
        <v>1123</v>
      </c>
      <c r="C28" s="18" t="n">
        <v>2550</v>
      </c>
      <c r="D28" s="18" t="n">
        <v>0</v>
      </c>
      <c r="E28" s="18" t="n">
        <v>0</v>
      </c>
      <c r="F28" s="19" t="n">
        <f aca="false">B28+C28+D28+E28</f>
        <v>3673</v>
      </c>
      <c r="G28" s="18" t="n">
        <v>1232.35</v>
      </c>
      <c r="H28" s="18" t="n">
        <v>72.03</v>
      </c>
      <c r="I28" s="18" t="n">
        <v>336.68</v>
      </c>
      <c r="J28" s="18" t="n">
        <v>21</v>
      </c>
      <c r="K28" s="18" t="n">
        <v>500.31</v>
      </c>
      <c r="L28" s="18" t="n">
        <v>0</v>
      </c>
      <c r="M28" s="19" t="n">
        <f aca="false">SUM(H28:L28)</f>
        <v>930.02</v>
      </c>
      <c r="N28" s="19" t="n">
        <f aca="false">G28-M28</f>
        <v>302.33</v>
      </c>
      <c r="O28" s="20" t="n">
        <f aca="false">IFERROR(G28/F28,0)</f>
        <v>0.335515927035121</v>
      </c>
      <c r="P28" s="21"/>
    </row>
    <row r="29" customFormat="false" ht="15" hidden="false" customHeight="false" outlineLevel="0" collapsed="false">
      <c r="A29" s="22" t="n">
        <v>46380</v>
      </c>
      <c r="B29" s="23" t="n">
        <v>1170</v>
      </c>
      <c r="C29" s="23" t="n">
        <v>2767</v>
      </c>
      <c r="D29" s="23" t="n">
        <v>0</v>
      </c>
      <c r="E29" s="23" t="n">
        <v>0</v>
      </c>
      <c r="F29" s="24" t="n">
        <f aca="false">B29+C29+D29+E29</f>
        <v>3937</v>
      </c>
      <c r="G29" s="23" t="n">
        <v>1268.88</v>
      </c>
      <c r="H29" s="23" t="n">
        <v>72.03</v>
      </c>
      <c r="I29" s="23" t="n">
        <v>336.68</v>
      </c>
      <c r="J29" s="23" t="n">
        <v>0</v>
      </c>
      <c r="K29" s="23" t="n">
        <v>500.31</v>
      </c>
      <c r="L29" s="23" t="n">
        <v>19</v>
      </c>
      <c r="M29" s="24" t="n">
        <f aca="false">SUM(H29:L29)</f>
        <v>928.02</v>
      </c>
      <c r="N29" s="24" t="n">
        <f aca="false">G29-M29</f>
        <v>340.86</v>
      </c>
      <c r="O29" s="25" t="n">
        <f aca="false">IFERROR(G29/F29,0)</f>
        <v>0.322296164592329</v>
      </c>
      <c r="P29" s="26"/>
    </row>
    <row r="30" customFormat="false" ht="15" hidden="false" customHeight="false" outlineLevel="0" collapsed="false">
      <c r="A30" s="17" t="n">
        <v>46381</v>
      </c>
      <c r="B30" s="18" t="n">
        <v>2143</v>
      </c>
      <c r="C30" s="18" t="n">
        <v>4397</v>
      </c>
      <c r="D30" s="18" t="n">
        <v>0</v>
      </c>
      <c r="E30" s="18" t="n">
        <v>0</v>
      </c>
      <c r="F30" s="19" t="n">
        <f aca="false">B30+C30+D30+E30</f>
        <v>6540</v>
      </c>
      <c r="G30" s="18" t="n">
        <v>2439.97</v>
      </c>
      <c r="H30" s="18" t="n">
        <v>72.03</v>
      </c>
      <c r="I30" s="18" t="n">
        <v>336.68</v>
      </c>
      <c r="J30" s="18" t="n">
        <v>116</v>
      </c>
      <c r="K30" s="18" t="n">
        <v>500.31</v>
      </c>
      <c r="L30" s="18" t="n">
        <v>0</v>
      </c>
      <c r="M30" s="19" t="n">
        <f aca="false">SUM(H30:L30)</f>
        <v>1025.02</v>
      </c>
      <c r="N30" s="19" t="n">
        <f aca="false">G30-M30</f>
        <v>1414.95</v>
      </c>
      <c r="O30" s="20" t="n">
        <f aca="false">IFERROR(G30/F30,0)</f>
        <v>0.373084097859327</v>
      </c>
      <c r="P30" s="21"/>
    </row>
    <row r="31" customFormat="false" ht="15" hidden="false" customHeight="false" outlineLevel="0" collapsed="false">
      <c r="A31" s="22" t="n">
        <v>46382</v>
      </c>
      <c r="B31" s="23" t="n">
        <v>1831</v>
      </c>
      <c r="C31" s="23" t="n">
        <v>4659</v>
      </c>
      <c r="D31" s="23" t="n">
        <v>0</v>
      </c>
      <c r="E31" s="23" t="n">
        <v>0</v>
      </c>
      <c r="F31" s="24" t="n">
        <f aca="false">B31+C31+D31+E31</f>
        <v>6490</v>
      </c>
      <c r="G31" s="23" t="n">
        <v>2264.69</v>
      </c>
      <c r="H31" s="23" t="n">
        <v>72.03</v>
      </c>
      <c r="I31" s="23" t="n">
        <v>336.68</v>
      </c>
      <c r="J31" s="23" t="n">
        <v>0</v>
      </c>
      <c r="K31" s="23" t="n">
        <v>500.31</v>
      </c>
      <c r="L31" s="23" t="n">
        <v>0</v>
      </c>
      <c r="M31" s="24" t="n">
        <f aca="false">SUM(H31:L31)</f>
        <v>909.02</v>
      </c>
      <c r="N31" s="24" t="n">
        <f aca="false">G31-M31</f>
        <v>1355.67</v>
      </c>
      <c r="O31" s="25" t="n">
        <f aca="false">IFERROR(G31/F31,0)</f>
        <v>0.348950693374422</v>
      </c>
      <c r="P31" s="26"/>
    </row>
    <row r="32" customFormat="false" ht="15" hidden="false" customHeight="false" outlineLevel="0" collapsed="false">
      <c r="A32" s="17" t="n">
        <v>46383</v>
      </c>
      <c r="B32" s="18" t="n">
        <v>842</v>
      </c>
      <c r="C32" s="18" t="n">
        <v>2166</v>
      </c>
      <c r="D32" s="18" t="n">
        <v>0</v>
      </c>
      <c r="E32" s="18" t="n">
        <v>0</v>
      </c>
      <c r="F32" s="19" t="n">
        <f aca="false">B32+C32+D32+E32</f>
        <v>3008</v>
      </c>
      <c r="G32" s="18" t="n">
        <v>935.06</v>
      </c>
      <c r="H32" s="18" t="n">
        <v>72.03</v>
      </c>
      <c r="I32" s="18" t="n">
        <v>336.68</v>
      </c>
      <c r="J32" s="18" t="n">
        <v>26</v>
      </c>
      <c r="K32" s="18" t="n">
        <v>500.31</v>
      </c>
      <c r="L32" s="18" t="n">
        <v>0</v>
      </c>
      <c r="M32" s="19" t="n">
        <f aca="false">SUM(H32:L32)</f>
        <v>935.02</v>
      </c>
      <c r="N32" s="19" t="n">
        <f aca="false">G32-M32</f>
        <v>0.0399999999999636</v>
      </c>
      <c r="O32" s="20" t="n">
        <f aca="false">IFERROR(G32/F32,0)</f>
        <v>0.310857712765957</v>
      </c>
      <c r="P32" s="21"/>
    </row>
    <row r="33" customFormat="false" ht="15" hidden="false" customHeight="false" outlineLevel="0" collapsed="false">
      <c r="A33" s="22" t="n">
        <v>46384</v>
      </c>
      <c r="B33" s="23" t="n">
        <v>2115</v>
      </c>
      <c r="C33" s="23" t="n">
        <v>3177</v>
      </c>
      <c r="D33" s="23" t="n">
        <v>0</v>
      </c>
      <c r="E33" s="23" t="n">
        <v>0</v>
      </c>
      <c r="F33" s="24" t="n">
        <f aca="false">B33+C33+D33+E33</f>
        <v>5292</v>
      </c>
      <c r="G33" s="23" t="n">
        <v>1930.74</v>
      </c>
      <c r="H33" s="23" t="n">
        <v>72.03</v>
      </c>
      <c r="I33" s="23" t="n">
        <v>336.68</v>
      </c>
      <c r="J33" s="23" t="n">
        <v>0</v>
      </c>
      <c r="K33" s="23" t="n">
        <v>500.31</v>
      </c>
      <c r="L33" s="23" t="n">
        <v>0</v>
      </c>
      <c r="M33" s="24" t="n">
        <f aca="false">SUM(H33:L33)</f>
        <v>909.02</v>
      </c>
      <c r="N33" s="24" t="n">
        <f aca="false">G33-M33</f>
        <v>1021.72</v>
      </c>
      <c r="O33" s="25" t="n">
        <f aca="false">IFERROR(G33/F33,0)</f>
        <v>0.36484126984127</v>
      </c>
      <c r="P33" s="26"/>
    </row>
    <row r="34" customFormat="false" ht="15" hidden="false" customHeight="false" outlineLevel="0" collapsed="false">
      <c r="A34" s="17" t="n">
        <v>46385</v>
      </c>
      <c r="B34" s="18" t="n">
        <v>1586</v>
      </c>
      <c r="C34" s="18" t="n">
        <v>2943</v>
      </c>
      <c r="D34" s="18" t="n">
        <v>0</v>
      </c>
      <c r="E34" s="18" t="n">
        <v>0</v>
      </c>
      <c r="F34" s="19" t="n">
        <f aca="false">B34+C34+D34+E34</f>
        <v>4529</v>
      </c>
      <c r="G34" s="18" t="n">
        <v>1615.78</v>
      </c>
      <c r="H34" s="18" t="n">
        <v>72.03</v>
      </c>
      <c r="I34" s="18" t="n">
        <v>336.68</v>
      </c>
      <c r="J34" s="18" t="n">
        <v>0</v>
      </c>
      <c r="K34" s="18" t="n">
        <v>500.31</v>
      </c>
      <c r="L34" s="18" t="n">
        <v>0</v>
      </c>
      <c r="M34" s="19" t="n">
        <f aca="false">SUM(H34:L34)</f>
        <v>909.02</v>
      </c>
      <c r="N34" s="19" t="n">
        <f aca="false">G34-M34</f>
        <v>706.76</v>
      </c>
      <c r="O34" s="20" t="n">
        <f aca="false">IFERROR(G34/F34,0)</f>
        <v>0.356763082358137</v>
      </c>
      <c r="P34" s="21"/>
    </row>
    <row r="35" customFormat="false" ht="15" hidden="false" customHeight="false" outlineLevel="0" collapsed="false">
      <c r="A35" s="22" t="n">
        <v>46386</v>
      </c>
      <c r="B35" s="23" t="n">
        <v>1360</v>
      </c>
      <c r="C35" s="23" t="n">
        <v>3251</v>
      </c>
      <c r="D35" s="23" t="n">
        <v>0</v>
      </c>
      <c r="E35" s="23" t="n">
        <v>0</v>
      </c>
      <c r="F35" s="24" t="n">
        <f aca="false">B35+C35+D35+E35</f>
        <v>4611</v>
      </c>
      <c r="G35" s="23" t="n">
        <v>1441.4</v>
      </c>
      <c r="H35" s="23" t="n">
        <v>72.03</v>
      </c>
      <c r="I35" s="23" t="n">
        <v>336.68</v>
      </c>
      <c r="J35" s="23" t="n">
        <v>0</v>
      </c>
      <c r="K35" s="23" t="n">
        <v>500.31</v>
      </c>
      <c r="L35" s="23" t="n">
        <v>0</v>
      </c>
      <c r="M35" s="24" t="n">
        <f aca="false">SUM(H35:L35)</f>
        <v>909.02</v>
      </c>
      <c r="N35" s="24" t="n">
        <f aca="false">G35-M35</f>
        <v>532.38</v>
      </c>
      <c r="O35" s="25" t="n">
        <f aca="false">IFERROR(G35/F35,0)</f>
        <v>0.312600303621774</v>
      </c>
      <c r="P35" s="26"/>
    </row>
    <row r="36" customFormat="false" ht="15" hidden="false" customHeight="false" outlineLevel="0" collapsed="false">
      <c r="A36" s="17" t="n">
        <v>46387</v>
      </c>
      <c r="B36" s="18" t="n">
        <v>1333</v>
      </c>
      <c r="C36" s="18" t="n">
        <v>3495</v>
      </c>
      <c r="D36" s="18" t="n">
        <v>0</v>
      </c>
      <c r="E36" s="18" t="n">
        <v>0</v>
      </c>
      <c r="F36" s="19" t="n">
        <f aca="false">B36+C36+D36+E36</f>
        <v>4828</v>
      </c>
      <c r="G36" s="18" t="n">
        <v>1588.02</v>
      </c>
      <c r="H36" s="18" t="n">
        <v>72.03</v>
      </c>
      <c r="I36" s="18" t="n">
        <v>336.68</v>
      </c>
      <c r="J36" s="18" t="n">
        <v>0</v>
      </c>
      <c r="K36" s="18" t="n">
        <v>500.31</v>
      </c>
      <c r="L36" s="18" t="n">
        <v>0</v>
      </c>
      <c r="M36" s="19" t="n">
        <f aca="false">SUM(H36:L36)</f>
        <v>909.02</v>
      </c>
      <c r="N36" s="19" t="n">
        <f aca="false">G36-M36</f>
        <v>679</v>
      </c>
      <c r="O36" s="20" t="n">
        <f aca="false">IFERROR(G36/F36,0)</f>
        <v>0.328918806959403</v>
      </c>
      <c r="P36" s="21"/>
    </row>
    <row r="38" customFormat="false" ht="15" hidden="false" customHeight="false" outlineLevel="0" collapsed="false">
      <c r="A38" s="27" t="s">
        <v>51</v>
      </c>
      <c r="B38" s="28" t="n">
        <f aca="false">SUM(B6:B36)</f>
        <v>45322</v>
      </c>
      <c r="C38" s="28" t="n">
        <f aca="false">SUM(C6:C36)</f>
        <v>97677</v>
      </c>
      <c r="D38" s="28" t="n">
        <f aca="false">SUM(D6:D36)</f>
        <v>-1431</v>
      </c>
      <c r="E38" s="28" t="n">
        <f aca="false">SUM(E6:E36)</f>
        <v>507</v>
      </c>
      <c r="F38" s="28" t="n">
        <f aca="false">SUM(F6:F36)</f>
        <v>142075</v>
      </c>
      <c r="G38" s="28" t="n">
        <f aca="false">SUM(G6:G36)</f>
        <v>49396.4</v>
      </c>
      <c r="H38" s="28" t="n">
        <f aca="false">SUM(H6:H36)</f>
        <v>2232.93</v>
      </c>
      <c r="I38" s="28" t="n">
        <f aca="false">SUM(I6:I36)</f>
        <v>10437.08</v>
      </c>
      <c r="J38" s="28" t="n">
        <f aca="false">SUM(J6:J36)</f>
        <v>499</v>
      </c>
      <c r="K38" s="28" t="n">
        <f aca="false">SUM(K6:K36)</f>
        <v>15009.3</v>
      </c>
      <c r="L38" s="28" t="n">
        <f aca="false">SUM(L6:L36)</f>
        <v>319</v>
      </c>
      <c r="M38" s="28" t="n">
        <f aca="false">SUM(M6:M36)</f>
        <v>28497.31</v>
      </c>
      <c r="N38" s="28" t="n">
        <f aca="false">SUM(N6:N36)</f>
        <v>20899.09</v>
      </c>
      <c r="O38" s="29" t="n">
        <f aca="false">IFERROR(G38/F38,0)</f>
        <v>0.347678338905508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46388</v>
      </c>
      <c r="B6" s="18" t="n">
        <v>1436</v>
      </c>
      <c r="C6" s="18" t="n">
        <v>2881</v>
      </c>
      <c r="D6" s="18" t="n">
        <v>0</v>
      </c>
      <c r="E6" s="18" t="n">
        <v>0</v>
      </c>
      <c r="F6" s="19" t="n">
        <f aca="false">B6+C6+D6+E6</f>
        <v>4317</v>
      </c>
      <c r="G6" s="18" t="n">
        <v>1338.33</v>
      </c>
      <c r="H6" s="18" t="n">
        <v>70.98</v>
      </c>
      <c r="I6" s="18" t="n">
        <v>344.9</v>
      </c>
      <c r="J6" s="18" t="n">
        <v>0</v>
      </c>
      <c r="K6" s="18" t="n">
        <v>627.01</v>
      </c>
      <c r="L6" s="18" t="n">
        <v>0</v>
      </c>
      <c r="M6" s="19" t="n">
        <f aca="false">SUM(H6:L6)</f>
        <v>1042.89</v>
      </c>
      <c r="N6" s="19" t="n">
        <f aca="false">G6-M6</f>
        <v>295.44</v>
      </c>
      <c r="O6" s="20" t="n">
        <f aca="false">IFERROR(G6/F6,0)</f>
        <v>0.310013898540653</v>
      </c>
      <c r="P6" s="21"/>
    </row>
    <row r="7" customFormat="false" ht="15" hidden="false" customHeight="false" outlineLevel="0" collapsed="false">
      <c r="A7" s="22" t="n">
        <v>46389</v>
      </c>
      <c r="B7" s="23" t="n">
        <v>1251</v>
      </c>
      <c r="C7" s="23" t="n">
        <v>2594</v>
      </c>
      <c r="D7" s="23" t="n">
        <v>0</v>
      </c>
      <c r="E7" s="23" t="n">
        <v>0</v>
      </c>
      <c r="F7" s="24" t="n">
        <f aca="false">B7+C7+D7+E7</f>
        <v>3845</v>
      </c>
      <c r="G7" s="23" t="n">
        <v>1205.37</v>
      </c>
      <c r="H7" s="23" t="n">
        <v>70.98</v>
      </c>
      <c r="I7" s="23" t="n">
        <v>344.9</v>
      </c>
      <c r="J7" s="23" t="n">
        <v>0</v>
      </c>
      <c r="K7" s="23" t="n">
        <v>627.01</v>
      </c>
      <c r="L7" s="23" t="n">
        <v>0</v>
      </c>
      <c r="M7" s="24" t="n">
        <f aca="false">SUM(H7:L7)</f>
        <v>1042.89</v>
      </c>
      <c r="N7" s="24" t="n">
        <f aca="false">G7-M7</f>
        <v>162.48</v>
      </c>
      <c r="O7" s="25" t="n">
        <f aca="false">IFERROR(G7/F7,0)</f>
        <v>0.313490247074122</v>
      </c>
      <c r="P7" s="26"/>
    </row>
    <row r="8" customFormat="false" ht="15" hidden="false" customHeight="false" outlineLevel="0" collapsed="false">
      <c r="A8" s="17" t="n">
        <v>46390</v>
      </c>
      <c r="B8" s="18" t="n">
        <v>869</v>
      </c>
      <c r="C8" s="18" t="n">
        <v>1623</v>
      </c>
      <c r="D8" s="18" t="n">
        <v>0</v>
      </c>
      <c r="E8" s="18" t="n">
        <v>0</v>
      </c>
      <c r="F8" s="19" t="n">
        <f aca="false">B8+C8+D8+E8</f>
        <v>2492</v>
      </c>
      <c r="G8" s="18" t="n">
        <v>891.27</v>
      </c>
      <c r="H8" s="18" t="n">
        <v>70.98</v>
      </c>
      <c r="I8" s="18" t="n">
        <v>344.9</v>
      </c>
      <c r="J8" s="18" t="n">
        <v>0</v>
      </c>
      <c r="K8" s="18" t="n">
        <v>627.01</v>
      </c>
      <c r="L8" s="18" t="n">
        <v>0</v>
      </c>
      <c r="M8" s="19" t="n">
        <f aca="false">SUM(H8:L8)</f>
        <v>1042.89</v>
      </c>
      <c r="N8" s="19" t="n">
        <f aca="false">G8-M8</f>
        <v>-151.62</v>
      </c>
      <c r="O8" s="20" t="n">
        <f aca="false">IFERROR(G8/F8,0)</f>
        <v>0.357652487961477</v>
      </c>
      <c r="P8" s="21"/>
    </row>
    <row r="9" customFormat="false" ht="15" hidden="false" customHeight="false" outlineLevel="0" collapsed="false">
      <c r="A9" s="22" t="n">
        <v>46391</v>
      </c>
      <c r="B9" s="23" t="n">
        <v>737</v>
      </c>
      <c r="C9" s="23" t="n">
        <v>1465</v>
      </c>
      <c r="D9" s="23" t="n">
        <v>0</v>
      </c>
      <c r="E9" s="23" t="n">
        <v>0</v>
      </c>
      <c r="F9" s="24" t="n">
        <f aca="false">B9+C9+D9+E9</f>
        <v>2202</v>
      </c>
      <c r="G9" s="23" t="n">
        <v>805.97</v>
      </c>
      <c r="H9" s="23" t="n">
        <v>70.98</v>
      </c>
      <c r="I9" s="23" t="n">
        <v>344.9</v>
      </c>
      <c r="J9" s="23" t="n">
        <v>7</v>
      </c>
      <c r="K9" s="23" t="n">
        <v>627.01</v>
      </c>
      <c r="L9" s="23" t="n">
        <v>0</v>
      </c>
      <c r="M9" s="24" t="n">
        <f aca="false">SUM(H9:L9)</f>
        <v>1049.89</v>
      </c>
      <c r="N9" s="24" t="n">
        <f aca="false">G9-M9</f>
        <v>-243.92</v>
      </c>
      <c r="O9" s="25" t="n">
        <f aca="false">IFERROR(G9/F9,0)</f>
        <v>0.366017257039055</v>
      </c>
      <c r="P9" s="26"/>
    </row>
    <row r="10" customFormat="false" ht="15" hidden="false" customHeight="false" outlineLevel="0" collapsed="false">
      <c r="A10" s="17" t="n">
        <v>46392</v>
      </c>
      <c r="B10" s="18" t="n">
        <v>845</v>
      </c>
      <c r="C10" s="18" t="n">
        <v>1666</v>
      </c>
      <c r="D10" s="18" t="n">
        <v>0</v>
      </c>
      <c r="E10" s="18" t="n">
        <v>0</v>
      </c>
      <c r="F10" s="19" t="n">
        <f aca="false">B10+C10+D10+E10</f>
        <v>2511</v>
      </c>
      <c r="G10" s="18" t="n">
        <v>884.1</v>
      </c>
      <c r="H10" s="18" t="n">
        <v>70.98</v>
      </c>
      <c r="I10" s="18" t="n">
        <v>344.9</v>
      </c>
      <c r="J10" s="18" t="n">
        <v>0</v>
      </c>
      <c r="K10" s="18" t="n">
        <v>627.01</v>
      </c>
      <c r="L10" s="18" t="n">
        <v>0</v>
      </c>
      <c r="M10" s="19" t="n">
        <f aca="false">SUM(H10:L10)</f>
        <v>1042.89</v>
      </c>
      <c r="N10" s="19" t="n">
        <f aca="false">G10-M10</f>
        <v>-158.79</v>
      </c>
      <c r="O10" s="20" t="n">
        <f aca="false">IFERROR(G10/F10,0)</f>
        <v>0.352090800477897</v>
      </c>
      <c r="P10" s="21"/>
    </row>
    <row r="11" customFormat="false" ht="15" hidden="false" customHeight="false" outlineLevel="0" collapsed="false">
      <c r="A11" s="22" t="n">
        <v>46393</v>
      </c>
      <c r="B11" s="23" t="n">
        <v>1200</v>
      </c>
      <c r="C11" s="23" t="n">
        <v>2270</v>
      </c>
      <c r="D11" s="23" t="n">
        <v>0</v>
      </c>
      <c r="E11" s="23" t="n">
        <v>0</v>
      </c>
      <c r="F11" s="24" t="n">
        <f aca="false">B11+C11+D11+E11</f>
        <v>3470</v>
      </c>
      <c r="G11" s="23" t="n">
        <v>1179.26</v>
      </c>
      <c r="H11" s="23" t="n">
        <v>70.98</v>
      </c>
      <c r="I11" s="23" t="n">
        <v>344.9</v>
      </c>
      <c r="J11" s="23" t="n">
        <v>0</v>
      </c>
      <c r="K11" s="23" t="n">
        <v>627.01</v>
      </c>
      <c r="L11" s="23" t="n">
        <v>0</v>
      </c>
      <c r="M11" s="24" t="n">
        <f aca="false">SUM(H11:L11)</f>
        <v>1042.89</v>
      </c>
      <c r="N11" s="24" t="n">
        <f aca="false">G11-M11</f>
        <v>136.37</v>
      </c>
      <c r="O11" s="25" t="n">
        <f aca="false">IFERROR(G11/F11,0)</f>
        <v>0.339844380403458</v>
      </c>
      <c r="P11" s="26"/>
    </row>
    <row r="12" customFormat="false" ht="15" hidden="false" customHeight="false" outlineLevel="0" collapsed="false">
      <c r="A12" s="17" t="n">
        <v>46394</v>
      </c>
      <c r="B12" s="18" t="n">
        <v>1212</v>
      </c>
      <c r="C12" s="18" t="n">
        <v>1868</v>
      </c>
      <c r="D12" s="18" t="n">
        <v>0</v>
      </c>
      <c r="E12" s="18" t="n">
        <v>0</v>
      </c>
      <c r="F12" s="19" t="n">
        <f aca="false">B12+C12+D12+E12</f>
        <v>3080</v>
      </c>
      <c r="G12" s="18" t="n">
        <v>1043</v>
      </c>
      <c r="H12" s="18" t="n">
        <v>70.98</v>
      </c>
      <c r="I12" s="18" t="n">
        <v>344.9</v>
      </c>
      <c r="J12" s="18" t="n">
        <v>0</v>
      </c>
      <c r="K12" s="18" t="n">
        <v>627.01</v>
      </c>
      <c r="L12" s="18" t="n">
        <v>0</v>
      </c>
      <c r="M12" s="19" t="n">
        <f aca="false">SUM(H12:L12)</f>
        <v>1042.89</v>
      </c>
      <c r="N12" s="19" t="n">
        <f aca="false">G12-M12</f>
        <v>0.110000000000127</v>
      </c>
      <c r="O12" s="20" t="n">
        <f aca="false">IFERROR(G12/F12,0)</f>
        <v>0.338636363636364</v>
      </c>
      <c r="P12" s="21"/>
    </row>
    <row r="13" customFormat="false" ht="15" hidden="false" customHeight="false" outlineLevel="0" collapsed="false">
      <c r="A13" s="22" t="n">
        <v>46395</v>
      </c>
      <c r="B13" s="23" t="n">
        <v>1118</v>
      </c>
      <c r="C13" s="23" t="n">
        <v>2678</v>
      </c>
      <c r="D13" s="23" t="n">
        <v>0</v>
      </c>
      <c r="E13" s="23" t="n">
        <v>0</v>
      </c>
      <c r="F13" s="24" t="n">
        <f aca="false">B13+C13+D13+E13</f>
        <v>3796</v>
      </c>
      <c r="G13" s="23" t="n">
        <v>1160.96</v>
      </c>
      <c r="H13" s="23" t="n">
        <v>70.98</v>
      </c>
      <c r="I13" s="23" t="n">
        <v>344.9</v>
      </c>
      <c r="J13" s="23" t="n">
        <v>66</v>
      </c>
      <c r="K13" s="23" t="n">
        <v>627.01</v>
      </c>
      <c r="L13" s="23" t="n">
        <v>0</v>
      </c>
      <c r="M13" s="24" t="n">
        <f aca="false">SUM(H13:L13)</f>
        <v>1108.89</v>
      </c>
      <c r="N13" s="24" t="n">
        <f aca="false">G13-M13</f>
        <v>52.0700000000002</v>
      </c>
      <c r="O13" s="25" t="n">
        <f aca="false">IFERROR(G13/F13,0)</f>
        <v>0.305837723919916</v>
      </c>
      <c r="P13" s="26"/>
    </row>
    <row r="14" customFormat="false" ht="15" hidden="false" customHeight="false" outlineLevel="0" collapsed="false">
      <c r="A14" s="17" t="n">
        <v>46396</v>
      </c>
      <c r="B14" s="18" t="n">
        <v>1193</v>
      </c>
      <c r="C14" s="18" t="n">
        <v>3059</v>
      </c>
      <c r="D14" s="18" t="n">
        <v>0</v>
      </c>
      <c r="E14" s="18" t="n">
        <v>0</v>
      </c>
      <c r="F14" s="19" t="n">
        <f aca="false">B14+C14+D14+E14</f>
        <v>4252</v>
      </c>
      <c r="G14" s="18" t="n">
        <v>1481.96</v>
      </c>
      <c r="H14" s="18" t="n">
        <v>70.98</v>
      </c>
      <c r="I14" s="18" t="n">
        <v>344.9</v>
      </c>
      <c r="J14" s="18" t="n">
        <v>0</v>
      </c>
      <c r="K14" s="18" t="n">
        <v>627.01</v>
      </c>
      <c r="L14" s="18" t="n">
        <v>0</v>
      </c>
      <c r="M14" s="19" t="n">
        <f aca="false">SUM(H14:L14)</f>
        <v>1042.89</v>
      </c>
      <c r="N14" s="19" t="n">
        <f aca="false">G14-M14</f>
        <v>439.07</v>
      </c>
      <c r="O14" s="20" t="n">
        <f aca="false">IFERROR(G14/F14,0)</f>
        <v>0.348532455315146</v>
      </c>
      <c r="P14" s="21"/>
    </row>
    <row r="15" customFormat="false" ht="15" hidden="false" customHeight="false" outlineLevel="0" collapsed="false">
      <c r="A15" s="22" t="n">
        <v>46397</v>
      </c>
      <c r="B15" s="23" t="n">
        <v>987</v>
      </c>
      <c r="C15" s="23" t="n">
        <v>1754</v>
      </c>
      <c r="D15" s="23" t="n">
        <v>0</v>
      </c>
      <c r="E15" s="23" t="n">
        <v>2431</v>
      </c>
      <c r="F15" s="24" t="n">
        <f aca="false">B15+C15+D15+E15</f>
        <v>5172</v>
      </c>
      <c r="G15" s="23" t="n">
        <v>1955.17</v>
      </c>
      <c r="H15" s="23" t="n">
        <v>70.98</v>
      </c>
      <c r="I15" s="23" t="n">
        <v>344.9</v>
      </c>
      <c r="J15" s="23" t="n">
        <v>56</v>
      </c>
      <c r="K15" s="23" t="n">
        <v>627.01</v>
      </c>
      <c r="L15" s="23" t="n">
        <v>0</v>
      </c>
      <c r="M15" s="24" t="n">
        <f aca="false">SUM(H15:L15)</f>
        <v>1098.89</v>
      </c>
      <c r="N15" s="24" t="n">
        <f aca="false">G15-M15</f>
        <v>856.28</v>
      </c>
      <c r="O15" s="25" t="n">
        <f aca="false">IFERROR(G15/F15,0)</f>
        <v>0.378029775715391</v>
      </c>
      <c r="P15" s="26"/>
    </row>
    <row r="16" customFormat="false" ht="15" hidden="false" customHeight="false" outlineLevel="0" collapsed="false">
      <c r="A16" s="17" t="n">
        <v>46398</v>
      </c>
      <c r="B16" s="18" t="n">
        <v>651</v>
      </c>
      <c r="C16" s="18" t="n">
        <v>1533</v>
      </c>
      <c r="D16" s="18" t="n">
        <v>0</v>
      </c>
      <c r="E16" s="18" t="n">
        <v>0</v>
      </c>
      <c r="F16" s="19" t="n">
        <f aca="false">B16+C16+D16+E16</f>
        <v>2184</v>
      </c>
      <c r="G16" s="18" t="n">
        <v>736.7</v>
      </c>
      <c r="H16" s="18" t="n">
        <v>70.98</v>
      </c>
      <c r="I16" s="18" t="n">
        <v>344.9</v>
      </c>
      <c r="J16" s="18" t="n">
        <v>0</v>
      </c>
      <c r="K16" s="18" t="n">
        <v>627.01</v>
      </c>
      <c r="L16" s="18" t="n">
        <v>0</v>
      </c>
      <c r="M16" s="19" t="n">
        <f aca="false">SUM(H16:L16)</f>
        <v>1042.89</v>
      </c>
      <c r="N16" s="19" t="n">
        <f aca="false">G16-M16</f>
        <v>-306.19</v>
      </c>
      <c r="O16" s="20" t="n">
        <f aca="false">IFERROR(G16/F16,0)</f>
        <v>0.33731684981685</v>
      </c>
      <c r="P16" s="21"/>
    </row>
    <row r="17" customFormat="false" ht="15" hidden="false" customHeight="false" outlineLevel="0" collapsed="false">
      <c r="A17" s="22" t="n">
        <v>46399</v>
      </c>
      <c r="B17" s="23" t="n">
        <v>908</v>
      </c>
      <c r="C17" s="23" t="n">
        <v>2524</v>
      </c>
      <c r="D17" s="23" t="n">
        <v>0</v>
      </c>
      <c r="E17" s="23" t="n">
        <v>0</v>
      </c>
      <c r="F17" s="24" t="n">
        <f aca="false">B17+C17+D17+E17</f>
        <v>3432</v>
      </c>
      <c r="G17" s="23" t="n">
        <v>1109.28</v>
      </c>
      <c r="H17" s="23" t="n">
        <v>70.98</v>
      </c>
      <c r="I17" s="23" t="n">
        <v>344.9</v>
      </c>
      <c r="J17" s="23" t="n">
        <v>0</v>
      </c>
      <c r="K17" s="23" t="n">
        <v>627.01</v>
      </c>
      <c r="L17" s="23" t="n">
        <v>0</v>
      </c>
      <c r="M17" s="24" t="n">
        <f aca="false">SUM(H17:L17)</f>
        <v>1042.89</v>
      </c>
      <c r="N17" s="24" t="n">
        <f aca="false">G17-M17</f>
        <v>66.3900000000001</v>
      </c>
      <c r="O17" s="25" t="n">
        <f aca="false">IFERROR(G17/F17,0)</f>
        <v>0.323216783216783</v>
      </c>
      <c r="P17" s="26"/>
    </row>
    <row r="18" customFormat="false" ht="15" hidden="false" customHeight="false" outlineLevel="0" collapsed="false">
      <c r="A18" s="17" t="n">
        <v>46400</v>
      </c>
      <c r="B18" s="18" t="n">
        <v>854</v>
      </c>
      <c r="C18" s="18" t="n">
        <v>2120</v>
      </c>
      <c r="D18" s="18" t="n">
        <v>0</v>
      </c>
      <c r="E18" s="18" t="n">
        <v>0</v>
      </c>
      <c r="F18" s="19" t="n">
        <f aca="false">B18+C18+D18+E18</f>
        <v>2974</v>
      </c>
      <c r="G18" s="18" t="n">
        <v>1098.07</v>
      </c>
      <c r="H18" s="18" t="n">
        <v>70.98</v>
      </c>
      <c r="I18" s="18" t="n">
        <v>344.9</v>
      </c>
      <c r="J18" s="18" t="n">
        <v>0</v>
      </c>
      <c r="K18" s="18" t="n">
        <v>627.01</v>
      </c>
      <c r="L18" s="18" t="n">
        <v>0</v>
      </c>
      <c r="M18" s="19" t="n">
        <f aca="false">SUM(H18:L18)</f>
        <v>1042.89</v>
      </c>
      <c r="N18" s="19" t="n">
        <f aca="false">G18-M18</f>
        <v>55.1800000000001</v>
      </c>
      <c r="O18" s="20" t="n">
        <f aca="false">IFERROR(G18/F18,0)</f>
        <v>0.369223268325488</v>
      </c>
      <c r="P18" s="21"/>
    </row>
    <row r="19" customFormat="false" ht="15" hidden="false" customHeight="false" outlineLevel="0" collapsed="false">
      <c r="A19" s="22" t="n">
        <v>46401</v>
      </c>
      <c r="B19" s="23" t="n">
        <v>911</v>
      </c>
      <c r="C19" s="23" t="n">
        <v>1796</v>
      </c>
      <c r="D19" s="23" t="n">
        <v>0</v>
      </c>
      <c r="E19" s="23" t="n">
        <v>0</v>
      </c>
      <c r="F19" s="24" t="n">
        <f aca="false">B19+C19+D19+E19</f>
        <v>2707</v>
      </c>
      <c r="G19" s="23" t="n">
        <v>879.82</v>
      </c>
      <c r="H19" s="23" t="n">
        <v>70.98</v>
      </c>
      <c r="I19" s="23" t="n">
        <v>344.9</v>
      </c>
      <c r="J19" s="23" t="n">
        <v>0</v>
      </c>
      <c r="K19" s="23" t="n">
        <v>627.01</v>
      </c>
      <c r="L19" s="23" t="n">
        <v>0</v>
      </c>
      <c r="M19" s="24" t="n">
        <f aca="false">SUM(H19:L19)</f>
        <v>1042.89</v>
      </c>
      <c r="N19" s="24" t="n">
        <f aca="false">G19-M19</f>
        <v>-163.07</v>
      </c>
      <c r="O19" s="25" t="n">
        <f aca="false">IFERROR(G19/F19,0)</f>
        <v>0.325016623568526</v>
      </c>
      <c r="P19" s="26"/>
    </row>
    <row r="20" customFormat="false" ht="15" hidden="false" customHeight="false" outlineLevel="0" collapsed="false">
      <c r="A20" s="17" t="n">
        <v>46402</v>
      </c>
      <c r="B20" s="18" t="n">
        <v>0</v>
      </c>
      <c r="C20" s="18" t="n">
        <v>0</v>
      </c>
      <c r="D20" s="18" t="n">
        <v>0</v>
      </c>
      <c r="E20" s="18" t="n">
        <v>0</v>
      </c>
      <c r="F20" s="19" t="n">
        <f aca="false">B20+C20+D20+E20</f>
        <v>0</v>
      </c>
      <c r="G20" s="18" t="n">
        <v>0</v>
      </c>
      <c r="H20" s="18" t="n">
        <v>70.98</v>
      </c>
      <c r="I20" s="18" t="n">
        <v>344.9</v>
      </c>
      <c r="J20" s="18" t="n">
        <v>0</v>
      </c>
      <c r="K20" s="18" t="n">
        <v>0</v>
      </c>
      <c r="L20" s="18" t="n">
        <v>0</v>
      </c>
      <c r="M20" s="19" t="n">
        <f aca="false">SUM(H20:L20)</f>
        <v>415.88</v>
      </c>
      <c r="N20" s="19" t="n">
        <f aca="false">G20-M20</f>
        <v>-415.88</v>
      </c>
      <c r="O20" s="20" t="n">
        <f aca="false">IFERROR(G20/F20,0)</f>
        <v>0</v>
      </c>
      <c r="P20" s="21" t="s">
        <v>50</v>
      </c>
    </row>
    <row r="21" customFormat="false" ht="15" hidden="false" customHeight="false" outlineLevel="0" collapsed="false">
      <c r="A21" s="22" t="n">
        <v>46403</v>
      </c>
      <c r="B21" s="23" t="n">
        <v>876</v>
      </c>
      <c r="C21" s="23" t="n">
        <v>2580</v>
      </c>
      <c r="D21" s="23" t="n">
        <v>0</v>
      </c>
      <c r="E21" s="23" t="n">
        <v>0</v>
      </c>
      <c r="F21" s="24" t="n">
        <f aca="false">B21+C21+D21+E21</f>
        <v>3456</v>
      </c>
      <c r="G21" s="23" t="n">
        <v>1298.14</v>
      </c>
      <c r="H21" s="23" t="n">
        <v>70.98</v>
      </c>
      <c r="I21" s="23" t="n">
        <v>344.9</v>
      </c>
      <c r="J21" s="23" t="n">
        <v>0</v>
      </c>
      <c r="K21" s="23" t="n">
        <v>627.01</v>
      </c>
      <c r="L21" s="23" t="n">
        <v>0</v>
      </c>
      <c r="M21" s="24" t="n">
        <f aca="false">SUM(H21:L21)</f>
        <v>1042.89</v>
      </c>
      <c r="N21" s="24" t="n">
        <f aca="false">G21-M21</f>
        <v>255.25</v>
      </c>
      <c r="O21" s="25" t="n">
        <f aca="false">IFERROR(G21/F21,0)</f>
        <v>0.375619212962963</v>
      </c>
      <c r="P21" s="26"/>
    </row>
    <row r="22" customFormat="false" ht="15" hidden="false" customHeight="false" outlineLevel="0" collapsed="false">
      <c r="A22" s="17" t="n">
        <v>46404</v>
      </c>
      <c r="B22" s="18" t="n">
        <v>792</v>
      </c>
      <c r="C22" s="18" t="n">
        <v>2014</v>
      </c>
      <c r="D22" s="18" t="n">
        <v>0</v>
      </c>
      <c r="E22" s="18" t="n">
        <v>0</v>
      </c>
      <c r="F22" s="19" t="n">
        <f aca="false">B22+C22+D22+E22</f>
        <v>2806</v>
      </c>
      <c r="G22" s="18" t="n">
        <v>921.02</v>
      </c>
      <c r="H22" s="18" t="n">
        <v>70.98</v>
      </c>
      <c r="I22" s="18" t="n">
        <v>344.9</v>
      </c>
      <c r="J22" s="18" t="n">
        <v>74</v>
      </c>
      <c r="K22" s="18" t="n">
        <v>627.01</v>
      </c>
      <c r="L22" s="18" t="n">
        <v>0</v>
      </c>
      <c r="M22" s="19" t="n">
        <f aca="false">SUM(H22:L22)</f>
        <v>1116.89</v>
      </c>
      <c r="N22" s="19" t="n">
        <f aca="false">G22-M22</f>
        <v>-195.87</v>
      </c>
      <c r="O22" s="20" t="n">
        <f aca="false">IFERROR(G22/F22,0)</f>
        <v>0.328232359230221</v>
      </c>
      <c r="P22" s="21"/>
    </row>
    <row r="23" customFormat="false" ht="15" hidden="false" customHeight="false" outlineLevel="0" collapsed="false">
      <c r="A23" s="22" t="n">
        <v>46405</v>
      </c>
      <c r="B23" s="23" t="n">
        <v>1102</v>
      </c>
      <c r="C23" s="23" t="n">
        <v>2063</v>
      </c>
      <c r="D23" s="23" t="n">
        <v>0</v>
      </c>
      <c r="E23" s="23" t="n">
        <v>0</v>
      </c>
      <c r="F23" s="24" t="n">
        <f aca="false">B23+C23+D23+E23</f>
        <v>3165</v>
      </c>
      <c r="G23" s="23" t="n">
        <v>1068.65</v>
      </c>
      <c r="H23" s="23" t="n">
        <v>70.98</v>
      </c>
      <c r="I23" s="23" t="n">
        <v>344.9</v>
      </c>
      <c r="J23" s="23" t="n">
        <v>0</v>
      </c>
      <c r="K23" s="23" t="n">
        <v>627.01</v>
      </c>
      <c r="L23" s="23" t="n">
        <v>0</v>
      </c>
      <c r="M23" s="24" t="n">
        <f aca="false">SUM(H23:L23)</f>
        <v>1042.89</v>
      </c>
      <c r="N23" s="24" t="n">
        <f aca="false">G23-M23</f>
        <v>25.7600000000002</v>
      </c>
      <c r="O23" s="25" t="n">
        <f aca="false">IFERROR(G23/F23,0)</f>
        <v>0.337646129541864</v>
      </c>
      <c r="P23" s="26"/>
    </row>
    <row r="24" customFormat="false" ht="15" hidden="false" customHeight="false" outlineLevel="0" collapsed="false">
      <c r="A24" s="17" t="n">
        <v>46406</v>
      </c>
      <c r="B24" s="18" t="n">
        <v>934</v>
      </c>
      <c r="C24" s="18" t="n">
        <v>2036</v>
      </c>
      <c r="D24" s="18" t="n">
        <v>0</v>
      </c>
      <c r="E24" s="18" t="n">
        <v>0</v>
      </c>
      <c r="F24" s="19" t="n">
        <f aca="false">B24+C24+D24+E24</f>
        <v>2970</v>
      </c>
      <c r="G24" s="18" t="n">
        <v>1100.67</v>
      </c>
      <c r="H24" s="18" t="n">
        <v>70.98</v>
      </c>
      <c r="I24" s="18" t="n">
        <v>344.9</v>
      </c>
      <c r="J24" s="18" t="n">
        <v>0</v>
      </c>
      <c r="K24" s="18" t="n">
        <v>627.01</v>
      </c>
      <c r="L24" s="18" t="n">
        <v>0</v>
      </c>
      <c r="M24" s="19" t="n">
        <f aca="false">SUM(H24:L24)</f>
        <v>1042.89</v>
      </c>
      <c r="N24" s="19" t="n">
        <f aca="false">G24-M24</f>
        <v>57.7800000000002</v>
      </c>
      <c r="O24" s="20" t="n">
        <f aca="false">IFERROR(G24/F24,0)</f>
        <v>0.37059595959596</v>
      </c>
      <c r="P24" s="21"/>
    </row>
    <row r="25" customFormat="false" ht="15" hidden="false" customHeight="false" outlineLevel="0" collapsed="false">
      <c r="A25" s="22" t="n">
        <v>46407</v>
      </c>
      <c r="B25" s="23" t="n">
        <v>712</v>
      </c>
      <c r="C25" s="23" t="n">
        <v>1623</v>
      </c>
      <c r="D25" s="23" t="n">
        <v>0</v>
      </c>
      <c r="E25" s="23" t="n">
        <v>0</v>
      </c>
      <c r="F25" s="24" t="n">
        <f aca="false">B25+C25+D25+E25</f>
        <v>2335</v>
      </c>
      <c r="G25" s="23" t="n">
        <v>775.33</v>
      </c>
      <c r="H25" s="23" t="n">
        <v>70.98</v>
      </c>
      <c r="I25" s="23" t="n">
        <v>344.9</v>
      </c>
      <c r="J25" s="23" t="n">
        <v>0</v>
      </c>
      <c r="K25" s="23" t="n">
        <v>627.01</v>
      </c>
      <c r="L25" s="23" t="n">
        <v>0</v>
      </c>
      <c r="M25" s="24" t="n">
        <f aca="false">SUM(H25:L25)</f>
        <v>1042.89</v>
      </c>
      <c r="N25" s="24" t="n">
        <f aca="false">G25-M25</f>
        <v>-267.56</v>
      </c>
      <c r="O25" s="25" t="n">
        <f aca="false">IFERROR(G25/F25,0)</f>
        <v>0.332047109207709</v>
      </c>
      <c r="P25" s="26"/>
    </row>
    <row r="26" customFormat="false" ht="15" hidden="false" customHeight="false" outlineLevel="0" collapsed="false">
      <c r="A26" s="17" t="n">
        <v>46408</v>
      </c>
      <c r="B26" s="18" t="n">
        <v>1140</v>
      </c>
      <c r="C26" s="18" t="n">
        <v>2283</v>
      </c>
      <c r="D26" s="18" t="n">
        <v>0</v>
      </c>
      <c r="E26" s="18" t="n">
        <v>0</v>
      </c>
      <c r="F26" s="19" t="n">
        <f aca="false">B26+C26+D26+E26</f>
        <v>3423</v>
      </c>
      <c r="G26" s="18" t="n">
        <v>1047.04</v>
      </c>
      <c r="H26" s="18" t="n">
        <v>70.98</v>
      </c>
      <c r="I26" s="18" t="n">
        <v>344.9</v>
      </c>
      <c r="J26" s="18" t="n">
        <v>0</v>
      </c>
      <c r="K26" s="18" t="n">
        <v>627.01</v>
      </c>
      <c r="L26" s="18" t="n">
        <v>0</v>
      </c>
      <c r="M26" s="19" t="n">
        <f aca="false">SUM(H26:L26)</f>
        <v>1042.89</v>
      </c>
      <c r="N26" s="19" t="n">
        <f aca="false">G26-M26</f>
        <v>4.15000000000009</v>
      </c>
      <c r="O26" s="20" t="n">
        <f aca="false">IFERROR(G26/F26,0)</f>
        <v>0.305883727724219</v>
      </c>
      <c r="P26" s="21"/>
    </row>
    <row r="27" customFormat="false" ht="15" hidden="false" customHeight="false" outlineLevel="0" collapsed="false">
      <c r="A27" s="22" t="n">
        <v>46409</v>
      </c>
      <c r="B27" s="23" t="n">
        <v>1057</v>
      </c>
      <c r="C27" s="23" t="n">
        <v>2565</v>
      </c>
      <c r="D27" s="23" t="n">
        <v>0</v>
      </c>
      <c r="E27" s="23" t="n">
        <v>0</v>
      </c>
      <c r="F27" s="24" t="n">
        <f aca="false">B27+C27+D27+E27</f>
        <v>3622</v>
      </c>
      <c r="G27" s="23" t="n">
        <v>1373.2</v>
      </c>
      <c r="H27" s="23" t="n">
        <v>70.98</v>
      </c>
      <c r="I27" s="23" t="n">
        <v>344.9</v>
      </c>
      <c r="J27" s="23" t="n">
        <v>0</v>
      </c>
      <c r="K27" s="23" t="n">
        <v>627.01</v>
      </c>
      <c r="L27" s="23" t="n">
        <v>0</v>
      </c>
      <c r="M27" s="24" t="n">
        <f aca="false">SUM(H27:L27)</f>
        <v>1042.89</v>
      </c>
      <c r="N27" s="24" t="n">
        <f aca="false">G27-M27</f>
        <v>330.31</v>
      </c>
      <c r="O27" s="25" t="n">
        <f aca="false">IFERROR(G27/F27,0)</f>
        <v>0.379127553837659</v>
      </c>
      <c r="P27" s="26"/>
    </row>
    <row r="28" customFormat="false" ht="15" hidden="false" customHeight="false" outlineLevel="0" collapsed="false">
      <c r="A28" s="17" t="n">
        <v>46410</v>
      </c>
      <c r="B28" s="18" t="n">
        <v>1790</v>
      </c>
      <c r="C28" s="18" t="n">
        <v>2727</v>
      </c>
      <c r="D28" s="18" t="n">
        <v>0</v>
      </c>
      <c r="E28" s="18" t="n">
        <v>0</v>
      </c>
      <c r="F28" s="19" t="n">
        <f aca="false">B28+C28+D28+E28</f>
        <v>4517</v>
      </c>
      <c r="G28" s="18" t="n">
        <v>1497.44</v>
      </c>
      <c r="H28" s="18" t="n">
        <v>70.98</v>
      </c>
      <c r="I28" s="18" t="n">
        <v>344.9</v>
      </c>
      <c r="J28" s="18" t="n">
        <v>0</v>
      </c>
      <c r="K28" s="18" t="n">
        <v>627.01</v>
      </c>
      <c r="L28" s="18" t="n">
        <v>0</v>
      </c>
      <c r="M28" s="19" t="n">
        <f aca="false">SUM(H28:L28)</f>
        <v>1042.89</v>
      </c>
      <c r="N28" s="19" t="n">
        <f aca="false">G28-M28</f>
        <v>454.55</v>
      </c>
      <c r="O28" s="20" t="n">
        <f aca="false">IFERROR(G28/F28,0)</f>
        <v>0.331512065530219</v>
      </c>
      <c r="P28" s="21"/>
    </row>
    <row r="29" customFormat="false" ht="15" hidden="false" customHeight="false" outlineLevel="0" collapsed="false">
      <c r="A29" s="22" t="n">
        <v>46411</v>
      </c>
      <c r="B29" s="23" t="n">
        <v>717</v>
      </c>
      <c r="C29" s="23" t="n">
        <v>1118</v>
      </c>
      <c r="D29" s="23" t="n">
        <v>0</v>
      </c>
      <c r="E29" s="23" t="n">
        <v>0</v>
      </c>
      <c r="F29" s="24" t="n">
        <f aca="false">B29+C29+D29+E29</f>
        <v>1835</v>
      </c>
      <c r="G29" s="23" t="n">
        <v>661.33</v>
      </c>
      <c r="H29" s="23" t="n">
        <v>70.98</v>
      </c>
      <c r="I29" s="23" t="n">
        <v>344.9</v>
      </c>
      <c r="J29" s="23" t="n">
        <v>0</v>
      </c>
      <c r="K29" s="23" t="n">
        <v>627.01</v>
      </c>
      <c r="L29" s="23" t="n">
        <v>0</v>
      </c>
      <c r="M29" s="24" t="n">
        <f aca="false">SUM(H29:L29)</f>
        <v>1042.89</v>
      </c>
      <c r="N29" s="24" t="n">
        <f aca="false">G29-M29</f>
        <v>-381.56</v>
      </c>
      <c r="O29" s="25" t="n">
        <f aca="false">IFERROR(G29/F29,0)</f>
        <v>0.360397820163488</v>
      </c>
      <c r="P29" s="26"/>
    </row>
    <row r="30" customFormat="false" ht="15" hidden="false" customHeight="false" outlineLevel="0" collapsed="false">
      <c r="A30" s="17" t="n">
        <v>46412</v>
      </c>
      <c r="B30" s="18" t="n">
        <v>733</v>
      </c>
      <c r="C30" s="18" t="n">
        <v>1521</v>
      </c>
      <c r="D30" s="18" t="n">
        <v>0</v>
      </c>
      <c r="E30" s="18" t="n">
        <v>0</v>
      </c>
      <c r="F30" s="19" t="n">
        <f aca="false">B30+C30+D30+E30</f>
        <v>2254</v>
      </c>
      <c r="G30" s="18" t="n">
        <v>684.37</v>
      </c>
      <c r="H30" s="18" t="n">
        <v>70.98</v>
      </c>
      <c r="I30" s="18" t="n">
        <v>344.9</v>
      </c>
      <c r="J30" s="18" t="n">
        <v>50</v>
      </c>
      <c r="K30" s="18" t="n">
        <v>627.01</v>
      </c>
      <c r="L30" s="18" t="n">
        <v>0</v>
      </c>
      <c r="M30" s="19" t="n">
        <f aca="false">SUM(H30:L30)</f>
        <v>1092.89</v>
      </c>
      <c r="N30" s="19" t="n">
        <f aca="false">G30-M30</f>
        <v>-408.52</v>
      </c>
      <c r="O30" s="20" t="n">
        <f aca="false">IFERROR(G30/F30,0)</f>
        <v>0.303624667258208</v>
      </c>
      <c r="P30" s="21"/>
    </row>
    <row r="31" customFormat="false" ht="15" hidden="false" customHeight="false" outlineLevel="0" collapsed="false">
      <c r="A31" s="22" t="n">
        <v>46413</v>
      </c>
      <c r="B31" s="23" t="n">
        <v>731</v>
      </c>
      <c r="C31" s="23" t="n">
        <v>1563</v>
      </c>
      <c r="D31" s="23" t="n">
        <v>0</v>
      </c>
      <c r="E31" s="23" t="n">
        <v>0</v>
      </c>
      <c r="F31" s="24" t="n">
        <f aca="false">B31+C31+D31+E31</f>
        <v>2294</v>
      </c>
      <c r="G31" s="23" t="n">
        <v>799.46</v>
      </c>
      <c r="H31" s="23" t="n">
        <v>70.98</v>
      </c>
      <c r="I31" s="23" t="n">
        <v>344.9</v>
      </c>
      <c r="J31" s="23" t="n">
        <v>0</v>
      </c>
      <c r="K31" s="23" t="n">
        <v>627.01</v>
      </c>
      <c r="L31" s="23" t="n">
        <v>0</v>
      </c>
      <c r="M31" s="24" t="n">
        <f aca="false">SUM(H31:L31)</f>
        <v>1042.89</v>
      </c>
      <c r="N31" s="24" t="n">
        <f aca="false">G31-M31</f>
        <v>-243.43</v>
      </c>
      <c r="O31" s="25" t="n">
        <f aca="false">IFERROR(G31/F31,0)</f>
        <v>0.348500435919791</v>
      </c>
      <c r="P31" s="26"/>
    </row>
    <row r="32" customFormat="false" ht="15" hidden="false" customHeight="false" outlineLevel="0" collapsed="false">
      <c r="A32" s="17" t="n">
        <v>46414</v>
      </c>
      <c r="B32" s="18" t="n">
        <v>790</v>
      </c>
      <c r="C32" s="18" t="n">
        <v>1521</v>
      </c>
      <c r="D32" s="18" t="n">
        <v>0</v>
      </c>
      <c r="E32" s="18" t="n">
        <v>0</v>
      </c>
      <c r="F32" s="19" t="n">
        <f aca="false">B32+C32+D32+E32</f>
        <v>2311</v>
      </c>
      <c r="G32" s="18" t="n">
        <v>723.34</v>
      </c>
      <c r="H32" s="18" t="n">
        <v>70.98</v>
      </c>
      <c r="I32" s="18" t="n">
        <v>344.9</v>
      </c>
      <c r="J32" s="18" t="n">
        <v>0</v>
      </c>
      <c r="K32" s="18" t="n">
        <v>627.01</v>
      </c>
      <c r="L32" s="18" t="n">
        <v>0</v>
      </c>
      <c r="M32" s="19" t="n">
        <f aca="false">SUM(H32:L32)</f>
        <v>1042.89</v>
      </c>
      <c r="N32" s="19" t="n">
        <f aca="false">G32-M32</f>
        <v>-319.55</v>
      </c>
      <c r="O32" s="20" t="n">
        <f aca="false">IFERROR(G32/F32,0)</f>
        <v>0.312998701860666</v>
      </c>
      <c r="P32" s="21"/>
    </row>
    <row r="33" customFormat="false" ht="15" hidden="false" customHeight="false" outlineLevel="0" collapsed="false">
      <c r="A33" s="22" t="n">
        <v>46415</v>
      </c>
      <c r="B33" s="23" t="n">
        <v>746</v>
      </c>
      <c r="C33" s="23" t="n">
        <v>1784</v>
      </c>
      <c r="D33" s="23" t="n">
        <v>0</v>
      </c>
      <c r="E33" s="23" t="n">
        <v>0</v>
      </c>
      <c r="F33" s="24" t="n">
        <f aca="false">B33+C33+D33+E33</f>
        <v>2530</v>
      </c>
      <c r="G33" s="23" t="n">
        <v>827.08</v>
      </c>
      <c r="H33" s="23" t="n">
        <v>70.98</v>
      </c>
      <c r="I33" s="23" t="n">
        <v>344.9</v>
      </c>
      <c r="J33" s="23" t="n">
        <v>0</v>
      </c>
      <c r="K33" s="23" t="n">
        <v>627.01</v>
      </c>
      <c r="L33" s="23" t="n">
        <v>0</v>
      </c>
      <c r="M33" s="24" t="n">
        <f aca="false">SUM(H33:L33)</f>
        <v>1042.89</v>
      </c>
      <c r="N33" s="24" t="n">
        <f aca="false">G33-M33</f>
        <v>-215.81</v>
      </c>
      <c r="O33" s="25" t="n">
        <f aca="false">IFERROR(G33/F33,0)</f>
        <v>0.326909090909091</v>
      </c>
      <c r="P33" s="26"/>
    </row>
    <row r="34" customFormat="false" ht="15" hidden="false" customHeight="false" outlineLevel="0" collapsed="false">
      <c r="A34" s="17" t="n">
        <v>46416</v>
      </c>
      <c r="B34" s="18" t="n">
        <v>1475</v>
      </c>
      <c r="C34" s="18" t="n">
        <v>2665</v>
      </c>
      <c r="D34" s="18" t="n">
        <v>0</v>
      </c>
      <c r="E34" s="18" t="n">
        <v>0</v>
      </c>
      <c r="F34" s="19" t="n">
        <f aca="false">B34+C34+D34+E34</f>
        <v>4140</v>
      </c>
      <c r="G34" s="18" t="n">
        <v>1341.29</v>
      </c>
      <c r="H34" s="18" t="n">
        <v>70.98</v>
      </c>
      <c r="I34" s="18" t="n">
        <v>344.9</v>
      </c>
      <c r="J34" s="18" t="n">
        <v>0</v>
      </c>
      <c r="K34" s="18" t="n">
        <v>627.01</v>
      </c>
      <c r="L34" s="18" t="n">
        <v>0</v>
      </c>
      <c r="M34" s="19" t="n">
        <f aca="false">SUM(H34:L34)</f>
        <v>1042.89</v>
      </c>
      <c r="N34" s="19" t="n">
        <f aca="false">G34-M34</f>
        <v>298.4</v>
      </c>
      <c r="O34" s="20" t="n">
        <f aca="false">IFERROR(G34/F34,0)</f>
        <v>0.32398309178744</v>
      </c>
      <c r="P34" s="21"/>
    </row>
    <row r="35" customFormat="false" ht="15" hidden="false" customHeight="false" outlineLevel="0" collapsed="false">
      <c r="A35" s="22" t="n">
        <v>46417</v>
      </c>
      <c r="B35" s="23" t="n">
        <v>1214</v>
      </c>
      <c r="C35" s="23" t="n">
        <v>2245</v>
      </c>
      <c r="D35" s="23" t="n">
        <v>-2552</v>
      </c>
      <c r="E35" s="23" t="n">
        <v>0</v>
      </c>
      <c r="F35" s="24" t="n">
        <f aca="false">B35+C35+D35+E35</f>
        <v>907</v>
      </c>
      <c r="G35" s="23" t="n">
        <v>314.45</v>
      </c>
      <c r="H35" s="23" t="n">
        <v>70.98</v>
      </c>
      <c r="I35" s="23" t="n">
        <v>344.9</v>
      </c>
      <c r="J35" s="23" t="n">
        <v>0</v>
      </c>
      <c r="K35" s="23" t="n">
        <v>627.01</v>
      </c>
      <c r="L35" s="23" t="n">
        <v>0</v>
      </c>
      <c r="M35" s="24" t="n">
        <f aca="false">SUM(H35:L35)</f>
        <v>1042.89</v>
      </c>
      <c r="N35" s="24" t="n">
        <f aca="false">G35-M35</f>
        <v>-728.44</v>
      </c>
      <c r="O35" s="25" t="n">
        <f aca="false">IFERROR(G35/F35,0)</f>
        <v>0.346692392502756</v>
      </c>
      <c r="P35" s="26"/>
    </row>
    <row r="36" customFormat="false" ht="15" hidden="false" customHeight="false" outlineLevel="0" collapsed="false">
      <c r="A36" s="17" t="n">
        <v>46418</v>
      </c>
      <c r="B36" s="18" t="n">
        <v>1017</v>
      </c>
      <c r="C36" s="18" t="n">
        <v>1863</v>
      </c>
      <c r="D36" s="18" t="n">
        <v>0</v>
      </c>
      <c r="E36" s="18" t="n">
        <v>0</v>
      </c>
      <c r="F36" s="19" t="n">
        <f aca="false">B36+C36+D36+E36</f>
        <v>2880</v>
      </c>
      <c r="G36" s="18" t="n">
        <v>870.14</v>
      </c>
      <c r="H36" s="18" t="n">
        <v>70.98</v>
      </c>
      <c r="I36" s="18" t="n">
        <v>344.9</v>
      </c>
      <c r="J36" s="18" t="n">
        <v>0</v>
      </c>
      <c r="K36" s="18" t="n">
        <v>627.01</v>
      </c>
      <c r="L36" s="18" t="n">
        <v>0</v>
      </c>
      <c r="M36" s="19" t="n">
        <f aca="false">SUM(H36:L36)</f>
        <v>1042.89</v>
      </c>
      <c r="N36" s="19" t="n">
        <f aca="false">G36-M36</f>
        <v>-172.75</v>
      </c>
      <c r="O36" s="20" t="n">
        <f aca="false">IFERROR(G36/F36,0)</f>
        <v>0.302131944444444</v>
      </c>
      <c r="P36" s="21"/>
    </row>
    <row r="38" customFormat="false" ht="15" hidden="false" customHeight="false" outlineLevel="0" collapsed="false">
      <c r="A38" s="27" t="s">
        <v>51</v>
      </c>
      <c r="B38" s="28" t="n">
        <f aca="false">SUM(B6:B36)</f>
        <v>29998</v>
      </c>
      <c r="C38" s="28" t="n">
        <f aca="false">SUM(C6:C36)</f>
        <v>62002</v>
      </c>
      <c r="D38" s="28" t="n">
        <f aca="false">SUM(D6:D36)</f>
        <v>-2552</v>
      </c>
      <c r="E38" s="28" t="n">
        <f aca="false">SUM(E6:E36)</f>
        <v>2431</v>
      </c>
      <c r="F38" s="28" t="n">
        <f aca="false">SUM(F6:F36)</f>
        <v>91879</v>
      </c>
      <c r="G38" s="28" t="n">
        <f aca="false">SUM(G6:G36)</f>
        <v>31072.21</v>
      </c>
      <c r="H38" s="28" t="n">
        <f aca="false">SUM(H6:H36)</f>
        <v>2200.38</v>
      </c>
      <c r="I38" s="28" t="n">
        <f aca="false">SUM(I6:I36)</f>
        <v>10691.9</v>
      </c>
      <c r="J38" s="28" t="n">
        <f aca="false">SUM(J6:J36)</f>
        <v>253</v>
      </c>
      <c r="K38" s="28" t="n">
        <f aca="false">SUM(K6:K36)</f>
        <v>18810.3</v>
      </c>
      <c r="L38" s="28" t="n">
        <f aca="false">SUM(L6:L36)</f>
        <v>0</v>
      </c>
      <c r="M38" s="28" t="n">
        <f aca="false">SUM(M6:M36)</f>
        <v>31955.58</v>
      </c>
      <c r="N38" s="28" t="n">
        <f aca="false">SUM(N6:N36)</f>
        <v>-883.369999999996</v>
      </c>
      <c r="O38" s="29" t="n">
        <f aca="false">IFERROR(G38/F38,0)</f>
        <v>0.338186201417081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46419</v>
      </c>
      <c r="B6" s="18" t="n">
        <v>979</v>
      </c>
      <c r="C6" s="18" t="n">
        <v>2343</v>
      </c>
      <c r="D6" s="18" t="n">
        <v>0</v>
      </c>
      <c r="E6" s="18" t="n">
        <v>0</v>
      </c>
      <c r="F6" s="19" t="n">
        <f aca="false">B6+C6+D6+E6</f>
        <v>3322</v>
      </c>
      <c r="G6" s="18" t="n">
        <v>1073.41</v>
      </c>
      <c r="H6" s="18" t="n">
        <v>77.85</v>
      </c>
      <c r="I6" s="18" t="n">
        <v>361.29</v>
      </c>
      <c r="J6" s="18" t="n">
        <v>0</v>
      </c>
      <c r="K6" s="18" t="n">
        <v>694.58</v>
      </c>
      <c r="L6" s="18" t="n">
        <v>0</v>
      </c>
      <c r="M6" s="19" t="n">
        <f aca="false">SUM(H6:L6)</f>
        <v>1133.72</v>
      </c>
      <c r="N6" s="19" t="n">
        <f aca="false">G6-M6</f>
        <v>-60.3099999999999</v>
      </c>
      <c r="O6" s="20" t="n">
        <f aca="false">IFERROR(G6/F6,0)</f>
        <v>0.323121613485852</v>
      </c>
      <c r="P6" s="21"/>
    </row>
    <row r="7" customFormat="false" ht="15" hidden="false" customHeight="false" outlineLevel="0" collapsed="false">
      <c r="A7" s="22" t="n">
        <v>46420</v>
      </c>
      <c r="B7" s="23" t="n">
        <v>0</v>
      </c>
      <c r="C7" s="23" t="n">
        <v>0</v>
      </c>
      <c r="D7" s="23" t="n">
        <v>0</v>
      </c>
      <c r="E7" s="23" t="n">
        <v>0</v>
      </c>
      <c r="F7" s="24" t="n">
        <f aca="false">B7+C7+D7+E7</f>
        <v>0</v>
      </c>
      <c r="G7" s="23" t="n">
        <v>0</v>
      </c>
      <c r="H7" s="23" t="n">
        <v>77.85</v>
      </c>
      <c r="I7" s="23" t="n">
        <v>361.29</v>
      </c>
      <c r="J7" s="23" t="n">
        <v>0</v>
      </c>
      <c r="K7" s="23" t="n">
        <v>0</v>
      </c>
      <c r="L7" s="23" t="n">
        <v>0</v>
      </c>
      <c r="M7" s="24" t="n">
        <f aca="false">SUM(H7:L7)</f>
        <v>439.14</v>
      </c>
      <c r="N7" s="24" t="n">
        <f aca="false">G7-M7</f>
        <v>-439.14</v>
      </c>
      <c r="O7" s="25" t="n">
        <f aca="false">IFERROR(G7/F7,0)</f>
        <v>0</v>
      </c>
      <c r="P7" s="26" t="s">
        <v>50</v>
      </c>
    </row>
    <row r="8" customFormat="false" ht="15" hidden="false" customHeight="false" outlineLevel="0" collapsed="false">
      <c r="A8" s="17" t="n">
        <v>46421</v>
      </c>
      <c r="B8" s="18" t="n">
        <v>1001</v>
      </c>
      <c r="C8" s="18" t="n">
        <v>1709</v>
      </c>
      <c r="D8" s="18" t="n">
        <v>0</v>
      </c>
      <c r="E8" s="18" t="n">
        <v>0</v>
      </c>
      <c r="F8" s="19" t="n">
        <f aca="false">B8+C8+D8+E8</f>
        <v>2710</v>
      </c>
      <c r="G8" s="18" t="n">
        <v>872.29</v>
      </c>
      <c r="H8" s="18" t="n">
        <v>77.85</v>
      </c>
      <c r="I8" s="18" t="n">
        <v>361.29</v>
      </c>
      <c r="J8" s="18" t="n">
        <v>101</v>
      </c>
      <c r="K8" s="18" t="n">
        <v>694.58</v>
      </c>
      <c r="L8" s="18" t="n">
        <v>0</v>
      </c>
      <c r="M8" s="19" t="n">
        <f aca="false">SUM(H8:L8)</f>
        <v>1234.72</v>
      </c>
      <c r="N8" s="19" t="n">
        <f aca="false">G8-M8</f>
        <v>-362.43</v>
      </c>
      <c r="O8" s="20" t="n">
        <f aca="false">IFERROR(G8/F8,0)</f>
        <v>0.321878228782288</v>
      </c>
      <c r="P8" s="21"/>
    </row>
    <row r="9" customFormat="false" ht="15" hidden="false" customHeight="false" outlineLevel="0" collapsed="false">
      <c r="A9" s="22" t="n">
        <v>46422</v>
      </c>
      <c r="B9" s="23" t="n">
        <v>1235</v>
      </c>
      <c r="C9" s="23" t="n">
        <v>1876</v>
      </c>
      <c r="D9" s="23" t="n">
        <v>0</v>
      </c>
      <c r="E9" s="23" t="n">
        <v>0</v>
      </c>
      <c r="F9" s="24" t="n">
        <f aca="false">B9+C9+D9+E9</f>
        <v>3111</v>
      </c>
      <c r="G9" s="23" t="n">
        <v>1136.98</v>
      </c>
      <c r="H9" s="23" t="n">
        <v>77.85</v>
      </c>
      <c r="I9" s="23" t="n">
        <v>361.29</v>
      </c>
      <c r="J9" s="23" t="n">
        <v>0</v>
      </c>
      <c r="K9" s="23" t="n">
        <v>694.58</v>
      </c>
      <c r="L9" s="23" t="n">
        <v>0</v>
      </c>
      <c r="M9" s="24" t="n">
        <f aca="false">SUM(H9:L9)</f>
        <v>1133.72</v>
      </c>
      <c r="N9" s="24" t="n">
        <f aca="false">G9-M9</f>
        <v>3.25999999999999</v>
      </c>
      <c r="O9" s="25" t="n">
        <f aca="false">IFERROR(G9/F9,0)</f>
        <v>0.365470909675346</v>
      </c>
      <c r="P9" s="26"/>
    </row>
    <row r="10" customFormat="false" ht="15" hidden="false" customHeight="false" outlineLevel="0" collapsed="false">
      <c r="A10" s="17" t="n">
        <v>46423</v>
      </c>
      <c r="B10" s="18" t="n">
        <v>1219</v>
      </c>
      <c r="C10" s="18" t="n">
        <v>2933</v>
      </c>
      <c r="D10" s="18" t="n">
        <v>0</v>
      </c>
      <c r="E10" s="18" t="n">
        <v>0</v>
      </c>
      <c r="F10" s="19" t="n">
        <f aca="false">B10+C10+D10+E10</f>
        <v>4152</v>
      </c>
      <c r="G10" s="18" t="n">
        <v>1341.14</v>
      </c>
      <c r="H10" s="18" t="n">
        <v>77.85</v>
      </c>
      <c r="I10" s="18" t="n">
        <v>361.29</v>
      </c>
      <c r="J10" s="18" t="n">
        <v>0</v>
      </c>
      <c r="K10" s="18" t="n">
        <v>694.58</v>
      </c>
      <c r="L10" s="18" t="n">
        <v>0</v>
      </c>
      <c r="M10" s="19" t="n">
        <f aca="false">SUM(H10:L10)</f>
        <v>1133.72</v>
      </c>
      <c r="N10" s="19" t="n">
        <f aca="false">G10-M10</f>
        <v>207.42</v>
      </c>
      <c r="O10" s="20" t="n">
        <f aca="false">IFERROR(G10/F10,0)</f>
        <v>0.323010597302505</v>
      </c>
      <c r="P10" s="21"/>
    </row>
    <row r="11" customFormat="false" ht="15" hidden="false" customHeight="false" outlineLevel="0" collapsed="false">
      <c r="A11" s="22" t="n">
        <v>46424</v>
      </c>
      <c r="B11" s="23" t="n">
        <v>1310</v>
      </c>
      <c r="C11" s="23" t="n">
        <v>2830</v>
      </c>
      <c r="D11" s="23" t="n">
        <v>0</v>
      </c>
      <c r="E11" s="23" t="n">
        <v>0</v>
      </c>
      <c r="F11" s="24" t="n">
        <f aca="false">B11+C11+D11+E11</f>
        <v>4140</v>
      </c>
      <c r="G11" s="23" t="n">
        <v>1326.93</v>
      </c>
      <c r="H11" s="23" t="n">
        <v>77.85</v>
      </c>
      <c r="I11" s="23" t="n">
        <v>361.29</v>
      </c>
      <c r="J11" s="23" t="n">
        <v>0</v>
      </c>
      <c r="K11" s="23" t="n">
        <v>694.58</v>
      </c>
      <c r="L11" s="23" t="n">
        <v>0</v>
      </c>
      <c r="M11" s="24" t="n">
        <f aca="false">SUM(H11:L11)</f>
        <v>1133.72</v>
      </c>
      <c r="N11" s="24" t="n">
        <f aca="false">G11-M11</f>
        <v>193.21</v>
      </c>
      <c r="O11" s="25" t="n">
        <f aca="false">IFERROR(G11/F11,0)</f>
        <v>0.320514492753623</v>
      </c>
      <c r="P11" s="26"/>
    </row>
    <row r="12" customFormat="false" ht="15" hidden="false" customHeight="false" outlineLevel="0" collapsed="false">
      <c r="A12" s="17" t="n">
        <v>46425</v>
      </c>
      <c r="B12" s="18" t="n">
        <v>768</v>
      </c>
      <c r="C12" s="18" t="n">
        <v>1554</v>
      </c>
      <c r="D12" s="18" t="n">
        <v>0</v>
      </c>
      <c r="E12" s="18" t="n">
        <v>0</v>
      </c>
      <c r="F12" s="19" t="n">
        <f aca="false">B12+C12+D12+E12</f>
        <v>2322</v>
      </c>
      <c r="G12" s="18" t="n">
        <v>869.92</v>
      </c>
      <c r="H12" s="18" t="n">
        <v>77.85</v>
      </c>
      <c r="I12" s="18" t="n">
        <v>361.29</v>
      </c>
      <c r="J12" s="18" t="n">
        <v>0</v>
      </c>
      <c r="K12" s="18" t="n">
        <v>694.58</v>
      </c>
      <c r="L12" s="18" t="n">
        <v>0</v>
      </c>
      <c r="M12" s="19" t="n">
        <f aca="false">SUM(H12:L12)</f>
        <v>1133.72</v>
      </c>
      <c r="N12" s="19" t="n">
        <f aca="false">G12-M12</f>
        <v>-263.8</v>
      </c>
      <c r="O12" s="20" t="n">
        <f aca="false">IFERROR(G12/F12,0)</f>
        <v>0.37464254952627</v>
      </c>
      <c r="P12" s="21"/>
    </row>
    <row r="13" customFormat="false" ht="15" hidden="false" customHeight="false" outlineLevel="0" collapsed="false">
      <c r="A13" s="22" t="n">
        <v>46426</v>
      </c>
      <c r="B13" s="23" t="n">
        <v>1099</v>
      </c>
      <c r="C13" s="23" t="n">
        <v>2110</v>
      </c>
      <c r="D13" s="23" t="n">
        <v>0</v>
      </c>
      <c r="E13" s="23" t="n">
        <v>0</v>
      </c>
      <c r="F13" s="24" t="n">
        <f aca="false">B13+C13+D13+E13</f>
        <v>3209</v>
      </c>
      <c r="G13" s="23" t="n">
        <v>1113.35</v>
      </c>
      <c r="H13" s="23" t="n">
        <v>77.85</v>
      </c>
      <c r="I13" s="23" t="n">
        <v>361.29</v>
      </c>
      <c r="J13" s="23" t="n">
        <v>0</v>
      </c>
      <c r="K13" s="23" t="n">
        <v>694.58</v>
      </c>
      <c r="L13" s="23" t="n">
        <v>0</v>
      </c>
      <c r="M13" s="24" t="n">
        <f aca="false">SUM(H13:L13)</f>
        <v>1133.72</v>
      </c>
      <c r="N13" s="24" t="n">
        <f aca="false">G13-M13</f>
        <v>-20.3700000000001</v>
      </c>
      <c r="O13" s="25" t="n">
        <f aca="false">IFERROR(G13/F13,0)</f>
        <v>0.346946089124338</v>
      </c>
      <c r="P13" s="26"/>
    </row>
    <row r="14" customFormat="false" ht="15" hidden="false" customHeight="false" outlineLevel="0" collapsed="false">
      <c r="A14" s="17" t="n">
        <v>46427</v>
      </c>
      <c r="B14" s="18" t="n">
        <v>1116</v>
      </c>
      <c r="C14" s="18" t="n">
        <v>2269</v>
      </c>
      <c r="D14" s="18" t="n">
        <v>-1731</v>
      </c>
      <c r="E14" s="18" t="n">
        <v>0</v>
      </c>
      <c r="F14" s="19" t="n">
        <f aca="false">B14+C14+D14+E14</f>
        <v>1654</v>
      </c>
      <c r="G14" s="18" t="n">
        <v>503.15</v>
      </c>
      <c r="H14" s="18" t="n">
        <v>77.85</v>
      </c>
      <c r="I14" s="18" t="n">
        <v>361.29</v>
      </c>
      <c r="J14" s="18" t="n">
        <v>0</v>
      </c>
      <c r="K14" s="18" t="n">
        <v>694.58</v>
      </c>
      <c r="L14" s="18" t="n">
        <v>0</v>
      </c>
      <c r="M14" s="19" t="n">
        <f aca="false">SUM(H14:L14)</f>
        <v>1133.72</v>
      </c>
      <c r="N14" s="19" t="n">
        <f aca="false">G14-M14</f>
        <v>-630.57</v>
      </c>
      <c r="O14" s="20" t="n">
        <f aca="false">IFERROR(G14/F14,0)</f>
        <v>0.304201934703748</v>
      </c>
      <c r="P14" s="21"/>
    </row>
    <row r="15" customFormat="false" ht="15" hidden="false" customHeight="false" outlineLevel="0" collapsed="false">
      <c r="A15" s="22" t="n">
        <v>46428</v>
      </c>
      <c r="B15" s="23" t="n">
        <v>838</v>
      </c>
      <c r="C15" s="23" t="n">
        <v>2322</v>
      </c>
      <c r="D15" s="23" t="n">
        <v>0</v>
      </c>
      <c r="E15" s="23" t="n">
        <v>0</v>
      </c>
      <c r="F15" s="24" t="n">
        <f aca="false">B15+C15+D15+E15</f>
        <v>3160</v>
      </c>
      <c r="G15" s="23" t="n">
        <v>1142.85</v>
      </c>
      <c r="H15" s="23" t="n">
        <v>77.85</v>
      </c>
      <c r="I15" s="23" t="n">
        <v>361.29</v>
      </c>
      <c r="J15" s="23" t="n">
        <v>83</v>
      </c>
      <c r="K15" s="23" t="n">
        <v>694.58</v>
      </c>
      <c r="L15" s="23" t="n">
        <v>0</v>
      </c>
      <c r="M15" s="24" t="n">
        <f aca="false">SUM(H15:L15)</f>
        <v>1216.72</v>
      </c>
      <c r="N15" s="24" t="n">
        <f aca="false">G15-M15</f>
        <v>-73.8700000000001</v>
      </c>
      <c r="O15" s="25" t="n">
        <f aca="false">IFERROR(G15/F15,0)</f>
        <v>0.361661392405063</v>
      </c>
      <c r="P15" s="26"/>
    </row>
    <row r="16" customFormat="false" ht="15" hidden="false" customHeight="false" outlineLevel="0" collapsed="false">
      <c r="A16" s="17" t="n">
        <v>46429</v>
      </c>
      <c r="B16" s="18" t="n">
        <v>1171</v>
      </c>
      <c r="C16" s="18" t="n">
        <v>2593</v>
      </c>
      <c r="D16" s="18" t="n">
        <v>0</v>
      </c>
      <c r="E16" s="18" t="n">
        <v>2628</v>
      </c>
      <c r="F16" s="19" t="n">
        <f aca="false">B16+C16+D16+E16</f>
        <v>6392</v>
      </c>
      <c r="G16" s="18" t="n">
        <v>2366.78</v>
      </c>
      <c r="H16" s="18" t="n">
        <v>77.85</v>
      </c>
      <c r="I16" s="18" t="n">
        <v>361.29</v>
      </c>
      <c r="J16" s="18" t="n">
        <v>0</v>
      </c>
      <c r="K16" s="18" t="n">
        <v>694.58</v>
      </c>
      <c r="L16" s="18" t="n">
        <v>0</v>
      </c>
      <c r="M16" s="19" t="n">
        <f aca="false">SUM(H16:L16)</f>
        <v>1133.72</v>
      </c>
      <c r="N16" s="19" t="n">
        <f aca="false">G16-M16</f>
        <v>1233.06</v>
      </c>
      <c r="O16" s="20" t="n">
        <f aca="false">IFERROR(G16/F16,0)</f>
        <v>0.370272215269086</v>
      </c>
      <c r="P16" s="21"/>
    </row>
    <row r="17" customFormat="false" ht="15" hidden="false" customHeight="false" outlineLevel="0" collapsed="false">
      <c r="A17" s="22" t="n">
        <v>46430</v>
      </c>
      <c r="B17" s="23" t="n">
        <v>1902</v>
      </c>
      <c r="C17" s="23" t="n">
        <v>2918</v>
      </c>
      <c r="D17" s="23" t="n">
        <v>0</v>
      </c>
      <c r="E17" s="23" t="n">
        <v>0</v>
      </c>
      <c r="F17" s="24" t="n">
        <f aca="false">B17+C17+D17+E17</f>
        <v>4820</v>
      </c>
      <c r="G17" s="23" t="n">
        <v>1569.84</v>
      </c>
      <c r="H17" s="23" t="n">
        <v>77.85</v>
      </c>
      <c r="I17" s="23" t="n">
        <v>361.29</v>
      </c>
      <c r="J17" s="23" t="n">
        <v>0</v>
      </c>
      <c r="K17" s="23" t="n">
        <v>694.58</v>
      </c>
      <c r="L17" s="23" t="n">
        <v>0</v>
      </c>
      <c r="M17" s="24" t="n">
        <f aca="false">SUM(H17:L17)</f>
        <v>1133.72</v>
      </c>
      <c r="N17" s="24" t="n">
        <f aca="false">G17-M17</f>
        <v>436.12</v>
      </c>
      <c r="O17" s="25" t="n">
        <f aca="false">IFERROR(G17/F17,0)</f>
        <v>0.325692946058091</v>
      </c>
      <c r="P17" s="26"/>
    </row>
    <row r="18" customFormat="false" ht="15" hidden="false" customHeight="false" outlineLevel="0" collapsed="false">
      <c r="A18" s="17" t="n">
        <v>46431</v>
      </c>
      <c r="B18" s="18" t="n">
        <v>1257</v>
      </c>
      <c r="C18" s="18" t="n">
        <v>3516</v>
      </c>
      <c r="D18" s="18" t="n">
        <v>0</v>
      </c>
      <c r="E18" s="18" t="n">
        <v>0</v>
      </c>
      <c r="F18" s="19" t="n">
        <f aca="false">B18+C18+D18+E18</f>
        <v>4773</v>
      </c>
      <c r="G18" s="18" t="n">
        <v>1651.13</v>
      </c>
      <c r="H18" s="18" t="n">
        <v>77.85</v>
      </c>
      <c r="I18" s="18" t="n">
        <v>361.29</v>
      </c>
      <c r="J18" s="18" t="n">
        <v>0</v>
      </c>
      <c r="K18" s="18" t="n">
        <v>694.58</v>
      </c>
      <c r="L18" s="18" t="n">
        <v>0</v>
      </c>
      <c r="M18" s="19" t="n">
        <f aca="false">SUM(H18:L18)</f>
        <v>1133.72</v>
      </c>
      <c r="N18" s="19" t="n">
        <f aca="false">G18-M18</f>
        <v>517.41</v>
      </c>
      <c r="O18" s="20" t="n">
        <f aca="false">IFERROR(G18/F18,0)</f>
        <v>0.345931280117327</v>
      </c>
      <c r="P18" s="21"/>
    </row>
    <row r="19" customFormat="false" ht="15" hidden="false" customHeight="false" outlineLevel="0" collapsed="false">
      <c r="A19" s="22" t="n">
        <v>46432</v>
      </c>
      <c r="B19" s="23" t="n">
        <v>1074</v>
      </c>
      <c r="C19" s="23" t="n">
        <v>1676</v>
      </c>
      <c r="D19" s="23" t="n">
        <v>0</v>
      </c>
      <c r="E19" s="23" t="n">
        <v>0</v>
      </c>
      <c r="F19" s="24" t="n">
        <f aca="false">B19+C19+D19+E19</f>
        <v>2750</v>
      </c>
      <c r="G19" s="23" t="n">
        <v>1025.91</v>
      </c>
      <c r="H19" s="23" t="n">
        <v>77.85</v>
      </c>
      <c r="I19" s="23" t="n">
        <v>361.29</v>
      </c>
      <c r="J19" s="23" t="n">
        <v>0</v>
      </c>
      <c r="K19" s="23" t="n">
        <v>694.58</v>
      </c>
      <c r="L19" s="23" t="n">
        <v>0</v>
      </c>
      <c r="M19" s="24" t="n">
        <f aca="false">SUM(H19:L19)</f>
        <v>1133.72</v>
      </c>
      <c r="N19" s="24" t="n">
        <f aca="false">G19-M19</f>
        <v>-107.81</v>
      </c>
      <c r="O19" s="25" t="n">
        <f aca="false">IFERROR(G19/F19,0)</f>
        <v>0.373058181818182</v>
      </c>
      <c r="P19" s="26"/>
    </row>
    <row r="20" customFormat="false" ht="15" hidden="false" customHeight="false" outlineLevel="0" collapsed="false">
      <c r="A20" s="17" t="n">
        <v>46433</v>
      </c>
      <c r="B20" s="18" t="n">
        <v>913</v>
      </c>
      <c r="C20" s="18" t="n">
        <v>2391</v>
      </c>
      <c r="D20" s="18" t="n">
        <v>0</v>
      </c>
      <c r="E20" s="18" t="n">
        <v>0</v>
      </c>
      <c r="F20" s="19" t="n">
        <f aca="false">B20+C20+D20+E20</f>
        <v>3304</v>
      </c>
      <c r="G20" s="18" t="n">
        <v>1234.28</v>
      </c>
      <c r="H20" s="18" t="n">
        <v>77.85</v>
      </c>
      <c r="I20" s="18" t="n">
        <v>361.29</v>
      </c>
      <c r="J20" s="18" t="n">
        <v>0</v>
      </c>
      <c r="K20" s="18" t="n">
        <v>694.58</v>
      </c>
      <c r="L20" s="18" t="n">
        <v>0</v>
      </c>
      <c r="M20" s="19" t="n">
        <f aca="false">SUM(H20:L20)</f>
        <v>1133.72</v>
      </c>
      <c r="N20" s="19" t="n">
        <f aca="false">G20-M20</f>
        <v>100.56</v>
      </c>
      <c r="O20" s="20" t="n">
        <f aca="false">IFERROR(G20/F20,0)</f>
        <v>0.373571428571429</v>
      </c>
      <c r="P20" s="21"/>
    </row>
    <row r="21" customFormat="false" ht="15" hidden="false" customHeight="false" outlineLevel="0" collapsed="false">
      <c r="A21" s="22" t="n">
        <v>46434</v>
      </c>
      <c r="B21" s="23" t="n">
        <v>1299</v>
      </c>
      <c r="C21" s="23" t="n">
        <v>2705</v>
      </c>
      <c r="D21" s="23" t="n">
        <v>0</v>
      </c>
      <c r="E21" s="23" t="n">
        <v>0</v>
      </c>
      <c r="F21" s="24" t="n">
        <f aca="false">B21+C21+D21+E21</f>
        <v>4004</v>
      </c>
      <c r="G21" s="23" t="n">
        <v>1501.21</v>
      </c>
      <c r="H21" s="23" t="n">
        <v>77.85</v>
      </c>
      <c r="I21" s="23" t="n">
        <v>361.29</v>
      </c>
      <c r="J21" s="23" t="n">
        <v>0</v>
      </c>
      <c r="K21" s="23" t="n">
        <v>694.58</v>
      </c>
      <c r="L21" s="23" t="n">
        <v>0</v>
      </c>
      <c r="M21" s="24" t="n">
        <f aca="false">SUM(H21:L21)</f>
        <v>1133.72</v>
      </c>
      <c r="N21" s="24" t="n">
        <f aca="false">G21-M21</f>
        <v>367.49</v>
      </c>
      <c r="O21" s="25" t="n">
        <f aca="false">IFERROR(G21/F21,0)</f>
        <v>0.374927572427572</v>
      </c>
      <c r="P21" s="26"/>
    </row>
    <row r="22" customFormat="false" ht="15" hidden="false" customHeight="false" outlineLevel="0" collapsed="false">
      <c r="A22" s="17" t="n">
        <v>46435</v>
      </c>
      <c r="B22" s="18" t="n">
        <v>1210</v>
      </c>
      <c r="C22" s="18" t="n">
        <v>1961</v>
      </c>
      <c r="D22" s="18" t="n">
        <v>0</v>
      </c>
      <c r="E22" s="18" t="n">
        <v>0</v>
      </c>
      <c r="F22" s="19" t="n">
        <f aca="false">B22+C22+D22+E22</f>
        <v>3171</v>
      </c>
      <c r="G22" s="18" t="n">
        <v>953.65</v>
      </c>
      <c r="H22" s="18" t="n">
        <v>77.85</v>
      </c>
      <c r="I22" s="18" t="n">
        <v>361.29</v>
      </c>
      <c r="J22" s="18" t="n">
        <v>0</v>
      </c>
      <c r="K22" s="18" t="n">
        <v>694.58</v>
      </c>
      <c r="L22" s="18" t="n">
        <v>0</v>
      </c>
      <c r="M22" s="19" t="n">
        <f aca="false">SUM(H22:L22)</f>
        <v>1133.72</v>
      </c>
      <c r="N22" s="19" t="n">
        <f aca="false">G22-M22</f>
        <v>-180.07</v>
      </c>
      <c r="O22" s="20" t="n">
        <f aca="false">IFERROR(G22/F22,0)</f>
        <v>0.300741091138442</v>
      </c>
      <c r="P22" s="21"/>
    </row>
    <row r="23" customFormat="false" ht="15" hidden="false" customHeight="false" outlineLevel="0" collapsed="false">
      <c r="A23" s="22" t="n">
        <v>46436</v>
      </c>
      <c r="B23" s="23" t="n">
        <v>1196</v>
      </c>
      <c r="C23" s="23" t="n">
        <v>1812</v>
      </c>
      <c r="D23" s="23" t="n">
        <v>0</v>
      </c>
      <c r="E23" s="23" t="n">
        <v>0</v>
      </c>
      <c r="F23" s="24" t="n">
        <f aca="false">B23+C23+D23+E23</f>
        <v>3008</v>
      </c>
      <c r="G23" s="23" t="n">
        <v>970.88</v>
      </c>
      <c r="H23" s="23" t="n">
        <v>77.85</v>
      </c>
      <c r="I23" s="23" t="n">
        <v>361.29</v>
      </c>
      <c r="J23" s="23" t="n">
        <v>0</v>
      </c>
      <c r="K23" s="23" t="n">
        <v>694.58</v>
      </c>
      <c r="L23" s="23" t="n">
        <v>0</v>
      </c>
      <c r="M23" s="24" t="n">
        <f aca="false">SUM(H23:L23)</f>
        <v>1133.72</v>
      </c>
      <c r="N23" s="24" t="n">
        <f aca="false">G23-M23</f>
        <v>-162.84</v>
      </c>
      <c r="O23" s="25" t="n">
        <f aca="false">IFERROR(G23/F23,0)</f>
        <v>0.322765957446809</v>
      </c>
      <c r="P23" s="26"/>
    </row>
    <row r="24" customFormat="false" ht="15" hidden="false" customHeight="false" outlineLevel="0" collapsed="false">
      <c r="A24" s="17" t="n">
        <v>46437</v>
      </c>
      <c r="B24" s="18" t="n">
        <v>1723</v>
      </c>
      <c r="C24" s="18" t="n">
        <v>3593</v>
      </c>
      <c r="D24" s="18" t="n">
        <v>0</v>
      </c>
      <c r="E24" s="18" t="n">
        <v>0</v>
      </c>
      <c r="F24" s="19" t="n">
        <f aca="false">B24+C24+D24+E24</f>
        <v>5316</v>
      </c>
      <c r="G24" s="18" t="n">
        <v>1993.95</v>
      </c>
      <c r="H24" s="18" t="n">
        <v>77.85</v>
      </c>
      <c r="I24" s="18" t="n">
        <v>361.29</v>
      </c>
      <c r="J24" s="18" t="n">
        <v>0</v>
      </c>
      <c r="K24" s="18" t="n">
        <v>694.58</v>
      </c>
      <c r="L24" s="18" t="n">
        <v>0</v>
      </c>
      <c r="M24" s="19" t="n">
        <f aca="false">SUM(H24:L24)</f>
        <v>1133.72</v>
      </c>
      <c r="N24" s="19" t="n">
        <f aca="false">G24-M24</f>
        <v>860.23</v>
      </c>
      <c r="O24" s="20" t="n">
        <f aca="false">IFERROR(G24/F24,0)</f>
        <v>0.375084650112867</v>
      </c>
      <c r="P24" s="21"/>
    </row>
    <row r="25" customFormat="false" ht="15" hidden="false" customHeight="false" outlineLevel="0" collapsed="false">
      <c r="A25" s="22" t="n">
        <v>46438</v>
      </c>
      <c r="B25" s="23" t="n">
        <v>1183</v>
      </c>
      <c r="C25" s="23" t="n">
        <v>3058</v>
      </c>
      <c r="D25" s="23" t="n">
        <v>0</v>
      </c>
      <c r="E25" s="23" t="n">
        <v>0</v>
      </c>
      <c r="F25" s="24" t="n">
        <f aca="false">B25+C25+D25+E25</f>
        <v>4241</v>
      </c>
      <c r="G25" s="23" t="n">
        <v>1310.52</v>
      </c>
      <c r="H25" s="23" t="n">
        <v>77.85</v>
      </c>
      <c r="I25" s="23" t="n">
        <v>361.29</v>
      </c>
      <c r="J25" s="23" t="n">
        <v>0</v>
      </c>
      <c r="K25" s="23" t="n">
        <v>694.58</v>
      </c>
      <c r="L25" s="23" t="n">
        <v>0</v>
      </c>
      <c r="M25" s="24" t="n">
        <f aca="false">SUM(H25:L25)</f>
        <v>1133.72</v>
      </c>
      <c r="N25" s="24" t="n">
        <f aca="false">G25-M25</f>
        <v>176.8</v>
      </c>
      <c r="O25" s="25" t="n">
        <f aca="false">IFERROR(G25/F25,0)</f>
        <v>0.309012025465692</v>
      </c>
      <c r="P25" s="26"/>
    </row>
    <row r="26" customFormat="false" ht="15" hidden="false" customHeight="false" outlineLevel="0" collapsed="false">
      <c r="A26" s="17" t="n">
        <v>46439</v>
      </c>
      <c r="B26" s="18" t="n">
        <v>799</v>
      </c>
      <c r="C26" s="18" t="n">
        <v>1971</v>
      </c>
      <c r="D26" s="18" t="n">
        <v>0</v>
      </c>
      <c r="E26" s="18" t="n">
        <v>0</v>
      </c>
      <c r="F26" s="19" t="n">
        <f aca="false">B26+C26+D26+E26</f>
        <v>2770</v>
      </c>
      <c r="G26" s="18" t="n">
        <v>872.26</v>
      </c>
      <c r="H26" s="18" t="n">
        <v>77.85</v>
      </c>
      <c r="I26" s="18" t="n">
        <v>361.29</v>
      </c>
      <c r="J26" s="18" t="n">
        <v>0</v>
      </c>
      <c r="K26" s="18" t="n">
        <v>694.58</v>
      </c>
      <c r="L26" s="18" t="n">
        <v>0</v>
      </c>
      <c r="M26" s="19" t="n">
        <f aca="false">SUM(H26:L26)</f>
        <v>1133.72</v>
      </c>
      <c r="N26" s="19" t="n">
        <f aca="false">G26-M26</f>
        <v>-261.46</v>
      </c>
      <c r="O26" s="20" t="n">
        <f aca="false">IFERROR(G26/F26,0)</f>
        <v>0.314895306859206</v>
      </c>
      <c r="P26" s="21"/>
    </row>
    <row r="27" customFormat="false" ht="15" hidden="false" customHeight="false" outlineLevel="0" collapsed="false">
      <c r="A27" s="22" t="n">
        <v>46440</v>
      </c>
      <c r="B27" s="23" t="n">
        <v>1099</v>
      </c>
      <c r="C27" s="23" t="n">
        <v>2181</v>
      </c>
      <c r="D27" s="23" t="n">
        <v>0</v>
      </c>
      <c r="E27" s="23" t="n">
        <v>0</v>
      </c>
      <c r="F27" s="24" t="n">
        <f aca="false">B27+C27+D27+E27</f>
        <v>3280</v>
      </c>
      <c r="G27" s="23" t="n">
        <v>1182.71</v>
      </c>
      <c r="H27" s="23" t="n">
        <v>77.85</v>
      </c>
      <c r="I27" s="23" t="n">
        <v>361.29</v>
      </c>
      <c r="J27" s="23" t="n">
        <v>0</v>
      </c>
      <c r="K27" s="23" t="n">
        <v>694.58</v>
      </c>
      <c r="L27" s="23" t="n">
        <v>0</v>
      </c>
      <c r="M27" s="24" t="n">
        <f aca="false">SUM(H27:L27)</f>
        <v>1133.72</v>
      </c>
      <c r="N27" s="24" t="n">
        <f aca="false">G27-M27</f>
        <v>48.99</v>
      </c>
      <c r="O27" s="25" t="n">
        <f aca="false">IFERROR(G27/F27,0)</f>
        <v>0.360582317073171</v>
      </c>
      <c r="P27" s="26"/>
    </row>
    <row r="28" customFormat="false" ht="15" hidden="false" customHeight="false" outlineLevel="0" collapsed="false">
      <c r="A28" s="17" t="n">
        <v>46441</v>
      </c>
      <c r="B28" s="18" t="n">
        <v>1341</v>
      </c>
      <c r="C28" s="18" t="n">
        <v>2147</v>
      </c>
      <c r="D28" s="18" t="n">
        <v>0</v>
      </c>
      <c r="E28" s="18" t="n">
        <v>0</v>
      </c>
      <c r="F28" s="19" t="n">
        <f aca="false">B28+C28+D28+E28</f>
        <v>3488</v>
      </c>
      <c r="G28" s="18" t="n">
        <v>1277.16</v>
      </c>
      <c r="H28" s="18" t="n">
        <v>77.85</v>
      </c>
      <c r="I28" s="18" t="n">
        <v>361.29</v>
      </c>
      <c r="J28" s="18" t="n">
        <v>0</v>
      </c>
      <c r="K28" s="18" t="n">
        <v>694.58</v>
      </c>
      <c r="L28" s="18" t="n">
        <v>0</v>
      </c>
      <c r="M28" s="19" t="n">
        <f aca="false">SUM(H28:L28)</f>
        <v>1133.72</v>
      </c>
      <c r="N28" s="19" t="n">
        <f aca="false">G28-M28</f>
        <v>143.44</v>
      </c>
      <c r="O28" s="20" t="n">
        <f aca="false">IFERROR(G28/F28,0)</f>
        <v>0.366158256880734</v>
      </c>
      <c r="P28" s="21"/>
    </row>
    <row r="29" customFormat="false" ht="15" hidden="false" customHeight="false" outlineLevel="0" collapsed="false">
      <c r="A29" s="22" t="n">
        <v>46442</v>
      </c>
      <c r="B29" s="23" t="n">
        <v>1330</v>
      </c>
      <c r="C29" s="23" t="n">
        <v>2465</v>
      </c>
      <c r="D29" s="23" t="n">
        <v>0</v>
      </c>
      <c r="E29" s="23" t="n">
        <v>0</v>
      </c>
      <c r="F29" s="24" t="n">
        <f aca="false">B29+C29+D29+E29</f>
        <v>3795</v>
      </c>
      <c r="G29" s="23" t="n">
        <v>1194.6</v>
      </c>
      <c r="H29" s="23" t="n">
        <v>77.85</v>
      </c>
      <c r="I29" s="23" t="n">
        <v>361.29</v>
      </c>
      <c r="J29" s="23" t="n">
        <v>49</v>
      </c>
      <c r="K29" s="23" t="n">
        <v>694.58</v>
      </c>
      <c r="L29" s="23" t="n">
        <v>0</v>
      </c>
      <c r="M29" s="24" t="n">
        <f aca="false">SUM(H29:L29)</f>
        <v>1182.72</v>
      </c>
      <c r="N29" s="24" t="n">
        <f aca="false">G29-M29</f>
        <v>11.8799999999999</v>
      </c>
      <c r="O29" s="25" t="n">
        <f aca="false">IFERROR(G29/F29,0)</f>
        <v>0.314782608695652</v>
      </c>
      <c r="P29" s="26"/>
    </row>
    <row r="30" customFormat="false" ht="15" hidden="false" customHeight="false" outlineLevel="0" collapsed="false">
      <c r="A30" s="17" t="n">
        <v>46443</v>
      </c>
      <c r="B30" s="18" t="n">
        <v>1011</v>
      </c>
      <c r="C30" s="18" t="n">
        <v>2485</v>
      </c>
      <c r="D30" s="18" t="n">
        <v>0</v>
      </c>
      <c r="E30" s="18" t="n">
        <v>0</v>
      </c>
      <c r="F30" s="19" t="n">
        <f aca="false">B30+C30+D30+E30</f>
        <v>3496</v>
      </c>
      <c r="G30" s="18" t="n">
        <v>1114.67</v>
      </c>
      <c r="H30" s="18" t="n">
        <v>77.85</v>
      </c>
      <c r="I30" s="18" t="n">
        <v>361.29</v>
      </c>
      <c r="J30" s="18" t="n">
        <v>0</v>
      </c>
      <c r="K30" s="18" t="n">
        <v>694.58</v>
      </c>
      <c r="L30" s="18" t="n">
        <v>0</v>
      </c>
      <c r="M30" s="19" t="n">
        <f aca="false">SUM(H30:L30)</f>
        <v>1133.72</v>
      </c>
      <c r="N30" s="19" t="n">
        <f aca="false">G30-M30</f>
        <v>-19.05</v>
      </c>
      <c r="O30" s="20" t="n">
        <f aca="false">IFERROR(G30/F30,0)</f>
        <v>0.318841533180778</v>
      </c>
      <c r="P30" s="21"/>
    </row>
    <row r="31" customFormat="false" ht="15" hidden="false" customHeight="false" outlineLevel="0" collapsed="false">
      <c r="A31" s="22" t="n">
        <v>46444</v>
      </c>
      <c r="B31" s="23" t="n">
        <v>1472</v>
      </c>
      <c r="C31" s="23" t="n">
        <v>3513</v>
      </c>
      <c r="D31" s="23" t="n">
        <v>0</v>
      </c>
      <c r="E31" s="23" t="n">
        <v>0</v>
      </c>
      <c r="F31" s="24" t="n">
        <f aca="false">B31+C31+D31+E31</f>
        <v>4985</v>
      </c>
      <c r="G31" s="23" t="n">
        <v>1783.79</v>
      </c>
      <c r="H31" s="23" t="n">
        <v>77.85</v>
      </c>
      <c r="I31" s="23" t="n">
        <v>361.29</v>
      </c>
      <c r="J31" s="23" t="n">
        <v>98</v>
      </c>
      <c r="K31" s="23" t="n">
        <v>694.58</v>
      </c>
      <c r="L31" s="23" t="n">
        <v>0</v>
      </c>
      <c r="M31" s="24" t="n">
        <f aca="false">SUM(H31:L31)</f>
        <v>1231.72</v>
      </c>
      <c r="N31" s="24" t="n">
        <f aca="false">G31-M31</f>
        <v>552.07</v>
      </c>
      <c r="O31" s="25" t="n">
        <f aca="false">IFERROR(G31/F31,0)</f>
        <v>0.35783149448345</v>
      </c>
      <c r="P31" s="26"/>
    </row>
    <row r="32" customFormat="false" ht="15" hidden="false" customHeight="false" outlineLevel="0" collapsed="false">
      <c r="A32" s="17" t="n">
        <v>46445</v>
      </c>
      <c r="B32" s="18" t="n">
        <v>990</v>
      </c>
      <c r="C32" s="18" t="n">
        <v>2828</v>
      </c>
      <c r="D32" s="18" t="n">
        <v>0</v>
      </c>
      <c r="E32" s="18" t="n">
        <v>0</v>
      </c>
      <c r="F32" s="19" t="n">
        <f aca="false">B32+C32+D32+E32</f>
        <v>3818</v>
      </c>
      <c r="G32" s="18" t="n">
        <v>1181.51</v>
      </c>
      <c r="H32" s="18" t="n">
        <v>77.85</v>
      </c>
      <c r="I32" s="18" t="n">
        <v>361.29</v>
      </c>
      <c r="J32" s="18" t="n">
        <v>0</v>
      </c>
      <c r="K32" s="18" t="n">
        <v>694.58</v>
      </c>
      <c r="L32" s="18" t="n">
        <v>0</v>
      </c>
      <c r="M32" s="19" t="n">
        <f aca="false">SUM(H32:L32)</f>
        <v>1133.72</v>
      </c>
      <c r="N32" s="19" t="n">
        <f aca="false">G32-M32</f>
        <v>47.79</v>
      </c>
      <c r="O32" s="20" t="n">
        <f aca="false">IFERROR(G32/F32,0)</f>
        <v>0.309457831325301</v>
      </c>
      <c r="P32" s="21"/>
    </row>
    <row r="33" customFormat="false" ht="15" hidden="false" customHeight="false" outlineLevel="0" collapsed="false">
      <c r="A33" s="22" t="n">
        <v>46446</v>
      </c>
      <c r="B33" s="23" t="n">
        <v>879</v>
      </c>
      <c r="C33" s="23" t="n">
        <v>1824</v>
      </c>
      <c r="D33" s="23" t="n">
        <v>0</v>
      </c>
      <c r="E33" s="23" t="n">
        <v>0</v>
      </c>
      <c r="F33" s="24" t="n">
        <f aca="false">B33+C33+D33+E33</f>
        <v>2703</v>
      </c>
      <c r="G33" s="23" t="n">
        <v>1004.46</v>
      </c>
      <c r="H33" s="23" t="n">
        <v>77.85</v>
      </c>
      <c r="I33" s="23" t="n">
        <v>361.29</v>
      </c>
      <c r="J33" s="23" t="n">
        <v>0</v>
      </c>
      <c r="K33" s="23" t="n">
        <v>694.58</v>
      </c>
      <c r="L33" s="23" t="n">
        <v>0</v>
      </c>
      <c r="M33" s="24" t="n">
        <f aca="false">SUM(H33:L33)</f>
        <v>1133.72</v>
      </c>
      <c r="N33" s="24" t="n">
        <f aca="false">G33-M33</f>
        <v>-129.26</v>
      </c>
      <c r="O33" s="25" t="n">
        <f aca="false">IFERROR(G33/F33,0)</f>
        <v>0.371609322974473</v>
      </c>
      <c r="P33" s="26"/>
    </row>
    <row r="34" customFormat="false" ht="15" hidden="false" customHeight="false" outlineLevel="0" collapsed="false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customFormat="false" ht="15" hidden="false" customHeight="fals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8" customFormat="false" ht="15" hidden="false" customHeight="false" outlineLevel="0" collapsed="false">
      <c r="A38" s="27" t="s">
        <v>51</v>
      </c>
      <c r="B38" s="28" t="n">
        <f aca="false">SUM(B6:B36)</f>
        <v>31414</v>
      </c>
      <c r="C38" s="28" t="n">
        <f aca="false">SUM(C6:C36)</f>
        <v>65583</v>
      </c>
      <c r="D38" s="28" t="n">
        <f aca="false">SUM(D6:D36)</f>
        <v>-1731</v>
      </c>
      <c r="E38" s="28" t="n">
        <f aca="false">SUM(E6:E36)</f>
        <v>2628</v>
      </c>
      <c r="F38" s="28" t="n">
        <f aca="false">SUM(F6:F36)</f>
        <v>97894</v>
      </c>
      <c r="G38" s="28" t="n">
        <f aca="false">SUM(G6:G36)</f>
        <v>33569.33</v>
      </c>
      <c r="H38" s="28" t="n">
        <f aca="false">SUM(H6:H36)</f>
        <v>2179.8</v>
      </c>
      <c r="I38" s="28" t="n">
        <f aca="false">SUM(I6:I36)</f>
        <v>10116.12</v>
      </c>
      <c r="J38" s="28" t="n">
        <f aca="false">SUM(J6:J36)</f>
        <v>331</v>
      </c>
      <c r="K38" s="28" t="n">
        <f aca="false">SUM(K6:K36)</f>
        <v>18753.66</v>
      </c>
      <c r="L38" s="28" t="n">
        <f aca="false">SUM(L6:L36)</f>
        <v>0</v>
      </c>
      <c r="M38" s="28" t="n">
        <f aca="false">SUM(M6:M36)</f>
        <v>31380.58</v>
      </c>
      <c r="N38" s="28" t="n">
        <f aca="false">SUM(N6:N36)</f>
        <v>2188.75</v>
      </c>
      <c r="O38" s="29" t="n">
        <f aca="false">IFERROR(G38/F38,0)</f>
        <v>0.342915091834025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5.5" hidden="false" customHeight="true" outlineLevel="0" collapsed="false">
      <c r="A1" s="8" t="s">
        <v>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</row>
    <row r="6" customFormat="false" ht="15" hidden="false" customHeight="false" outlineLevel="0" collapsed="false">
      <c r="A6" s="17" t="n">
        <v>46447</v>
      </c>
      <c r="B6" s="18" t="n">
        <v>2337</v>
      </c>
      <c r="C6" s="18" t="n">
        <v>5552</v>
      </c>
      <c r="D6" s="18" t="n">
        <v>0</v>
      </c>
      <c r="E6" s="18" t="n">
        <v>0</v>
      </c>
      <c r="F6" s="19" t="n">
        <f aca="false">B6+C6+D6+E6</f>
        <v>7889</v>
      </c>
      <c r="G6" s="18" t="n">
        <v>2380.44</v>
      </c>
      <c r="H6" s="18" t="n">
        <v>78.94</v>
      </c>
      <c r="I6" s="18" t="n">
        <v>326.7</v>
      </c>
      <c r="J6" s="18" t="n">
        <v>0</v>
      </c>
      <c r="K6" s="18" t="n">
        <v>634.55</v>
      </c>
      <c r="L6" s="18" t="n">
        <v>22</v>
      </c>
      <c r="M6" s="19" t="n">
        <f aca="false">SUM(H6:L6)</f>
        <v>1062.19</v>
      </c>
      <c r="N6" s="19" t="n">
        <f aca="false">G6-M6</f>
        <v>1318.25</v>
      </c>
      <c r="O6" s="20" t="n">
        <f aca="false">IFERROR(G6/F6,0)</f>
        <v>0.301741665610344</v>
      </c>
      <c r="P6" s="21"/>
    </row>
    <row r="7" customFormat="false" ht="15" hidden="false" customHeight="false" outlineLevel="0" collapsed="false">
      <c r="A7" s="22" t="n">
        <v>46448</v>
      </c>
      <c r="B7" s="23" t="n">
        <v>2621</v>
      </c>
      <c r="C7" s="23" t="n">
        <v>7422</v>
      </c>
      <c r="D7" s="23" t="n">
        <v>0</v>
      </c>
      <c r="E7" s="23" t="n">
        <v>0</v>
      </c>
      <c r="F7" s="24" t="n">
        <f aca="false">B7+C7+D7+E7</f>
        <v>10043</v>
      </c>
      <c r="G7" s="23" t="n">
        <v>3353.32</v>
      </c>
      <c r="H7" s="23" t="n">
        <v>78.94</v>
      </c>
      <c r="I7" s="23" t="n">
        <v>326.7</v>
      </c>
      <c r="J7" s="23" t="n">
        <v>0</v>
      </c>
      <c r="K7" s="23" t="n">
        <v>634.55</v>
      </c>
      <c r="L7" s="23" t="n">
        <v>0</v>
      </c>
      <c r="M7" s="24" t="n">
        <f aca="false">SUM(H7:L7)</f>
        <v>1040.19</v>
      </c>
      <c r="N7" s="24" t="n">
        <f aca="false">G7-M7</f>
        <v>2313.13</v>
      </c>
      <c r="O7" s="25" t="n">
        <f aca="false">IFERROR(G7/F7,0)</f>
        <v>0.333896246141591</v>
      </c>
      <c r="P7" s="26"/>
    </row>
    <row r="8" customFormat="false" ht="15" hidden="false" customHeight="false" outlineLevel="0" collapsed="false">
      <c r="A8" s="17" t="n">
        <v>46449</v>
      </c>
      <c r="B8" s="18" t="n">
        <v>1958</v>
      </c>
      <c r="C8" s="18" t="n">
        <v>5602</v>
      </c>
      <c r="D8" s="18" t="n">
        <v>0</v>
      </c>
      <c r="E8" s="18" t="n">
        <v>0</v>
      </c>
      <c r="F8" s="19" t="n">
        <f aca="false">B8+C8+D8+E8</f>
        <v>7560</v>
      </c>
      <c r="G8" s="18" t="n">
        <v>2808.82</v>
      </c>
      <c r="H8" s="18" t="n">
        <v>78.94</v>
      </c>
      <c r="I8" s="18" t="n">
        <v>326.7</v>
      </c>
      <c r="J8" s="18" t="n">
        <v>0</v>
      </c>
      <c r="K8" s="18" t="n">
        <v>634.55</v>
      </c>
      <c r="L8" s="18" t="n">
        <v>0</v>
      </c>
      <c r="M8" s="19" t="n">
        <f aca="false">SUM(H8:L8)</f>
        <v>1040.19</v>
      </c>
      <c r="N8" s="19" t="n">
        <f aca="false">G8-M8</f>
        <v>1768.63</v>
      </c>
      <c r="O8" s="20" t="n">
        <f aca="false">IFERROR(G8/F8,0)</f>
        <v>0.371537037037037</v>
      </c>
      <c r="P8" s="21"/>
    </row>
    <row r="9" customFormat="false" ht="15" hidden="false" customHeight="false" outlineLevel="0" collapsed="false">
      <c r="A9" s="22" t="n">
        <v>46450</v>
      </c>
      <c r="B9" s="23" t="n">
        <v>2604</v>
      </c>
      <c r="C9" s="23" t="n">
        <v>6281</v>
      </c>
      <c r="D9" s="23" t="n">
        <v>0</v>
      </c>
      <c r="E9" s="23" t="n">
        <v>0</v>
      </c>
      <c r="F9" s="24" t="n">
        <f aca="false">B9+C9+D9+E9</f>
        <v>8885</v>
      </c>
      <c r="G9" s="23" t="n">
        <v>2793.43</v>
      </c>
      <c r="H9" s="23" t="n">
        <v>78.94</v>
      </c>
      <c r="I9" s="23" t="n">
        <v>326.7</v>
      </c>
      <c r="J9" s="23" t="n">
        <v>96</v>
      </c>
      <c r="K9" s="23" t="n">
        <v>634.55</v>
      </c>
      <c r="L9" s="23" t="n">
        <v>0</v>
      </c>
      <c r="M9" s="24" t="n">
        <f aca="false">SUM(H9:L9)</f>
        <v>1136.19</v>
      </c>
      <c r="N9" s="24" t="n">
        <f aca="false">G9-M9</f>
        <v>1657.24</v>
      </c>
      <c r="O9" s="25" t="n">
        <f aca="false">IFERROR(G9/F9,0)</f>
        <v>0.314398424310636</v>
      </c>
      <c r="P9" s="26"/>
    </row>
    <row r="10" customFormat="false" ht="15" hidden="false" customHeight="false" outlineLevel="0" collapsed="false">
      <c r="A10" s="17" t="n">
        <v>46451</v>
      </c>
      <c r="B10" s="18" t="n">
        <v>0</v>
      </c>
      <c r="C10" s="18" t="n">
        <v>0</v>
      </c>
      <c r="D10" s="18" t="n">
        <v>0</v>
      </c>
      <c r="E10" s="18" t="n">
        <v>0</v>
      </c>
      <c r="F10" s="19" t="n">
        <f aca="false">B10+C10+D10+E10</f>
        <v>0</v>
      </c>
      <c r="G10" s="18" t="n">
        <v>0</v>
      </c>
      <c r="H10" s="18" t="n">
        <v>78.94</v>
      </c>
      <c r="I10" s="18" t="n">
        <v>326.7</v>
      </c>
      <c r="J10" s="18" t="n">
        <v>0</v>
      </c>
      <c r="K10" s="18" t="n">
        <v>0</v>
      </c>
      <c r="L10" s="18" t="n">
        <v>0</v>
      </c>
      <c r="M10" s="19" t="n">
        <f aca="false">SUM(H10:L10)</f>
        <v>405.64</v>
      </c>
      <c r="N10" s="19" t="n">
        <f aca="false">G10-M10</f>
        <v>-405.64</v>
      </c>
      <c r="O10" s="20" t="n">
        <f aca="false">IFERROR(G10/F10,0)</f>
        <v>0</v>
      </c>
      <c r="P10" s="21" t="s">
        <v>50</v>
      </c>
    </row>
    <row r="11" customFormat="false" ht="15" hidden="false" customHeight="false" outlineLevel="0" collapsed="false">
      <c r="A11" s="22" t="n">
        <v>46452</v>
      </c>
      <c r="B11" s="23" t="n">
        <v>3902</v>
      </c>
      <c r="C11" s="23" t="n">
        <v>8395</v>
      </c>
      <c r="D11" s="23" t="n">
        <v>0</v>
      </c>
      <c r="E11" s="23" t="n">
        <v>0</v>
      </c>
      <c r="F11" s="24" t="n">
        <f aca="false">B11+C11+D11+E11</f>
        <v>12297</v>
      </c>
      <c r="G11" s="23" t="n">
        <v>4591.32</v>
      </c>
      <c r="H11" s="23" t="n">
        <v>78.94</v>
      </c>
      <c r="I11" s="23" t="n">
        <v>326.7</v>
      </c>
      <c r="J11" s="23" t="n">
        <v>0</v>
      </c>
      <c r="K11" s="23" t="n">
        <v>634.55</v>
      </c>
      <c r="L11" s="23" t="n">
        <v>0</v>
      </c>
      <c r="M11" s="24" t="n">
        <f aca="false">SUM(H11:L11)</f>
        <v>1040.19</v>
      </c>
      <c r="N11" s="24" t="n">
        <f aca="false">G11-M11</f>
        <v>3551.13</v>
      </c>
      <c r="O11" s="25" t="n">
        <f aca="false">IFERROR(G11/F11,0)</f>
        <v>0.373369114418151</v>
      </c>
      <c r="P11" s="26"/>
    </row>
    <row r="12" customFormat="false" ht="15" hidden="false" customHeight="false" outlineLevel="0" collapsed="false">
      <c r="A12" s="17" t="n">
        <v>46453</v>
      </c>
      <c r="B12" s="18" t="n">
        <v>3116</v>
      </c>
      <c r="C12" s="18" t="n">
        <v>4779</v>
      </c>
      <c r="D12" s="18" t="n">
        <v>0</v>
      </c>
      <c r="E12" s="18" t="n">
        <v>0</v>
      </c>
      <c r="F12" s="19" t="n">
        <f aca="false">B12+C12+D12+E12</f>
        <v>7895</v>
      </c>
      <c r="G12" s="18" t="n">
        <v>2920.87</v>
      </c>
      <c r="H12" s="18" t="n">
        <v>78.94</v>
      </c>
      <c r="I12" s="18" t="n">
        <v>326.7</v>
      </c>
      <c r="J12" s="18" t="n">
        <v>129</v>
      </c>
      <c r="K12" s="18" t="n">
        <v>634.55</v>
      </c>
      <c r="L12" s="18" t="n">
        <v>0</v>
      </c>
      <c r="M12" s="19" t="n">
        <f aca="false">SUM(H12:L12)</f>
        <v>1169.19</v>
      </c>
      <c r="N12" s="19" t="n">
        <f aca="false">G12-M12</f>
        <v>1751.68</v>
      </c>
      <c r="O12" s="20" t="n">
        <f aca="false">IFERROR(G12/F12,0)</f>
        <v>0.369964534515516</v>
      </c>
      <c r="P12" s="21"/>
    </row>
    <row r="13" customFormat="false" ht="15" hidden="false" customHeight="false" outlineLevel="0" collapsed="false">
      <c r="A13" s="22" t="n">
        <v>46454</v>
      </c>
      <c r="B13" s="23" t="n">
        <v>3744</v>
      </c>
      <c r="C13" s="23" t="n">
        <v>5640</v>
      </c>
      <c r="D13" s="23" t="n">
        <v>0</v>
      </c>
      <c r="E13" s="23" t="n">
        <v>0</v>
      </c>
      <c r="F13" s="24" t="n">
        <f aca="false">B13+C13+D13+E13</f>
        <v>9384</v>
      </c>
      <c r="G13" s="23" t="n">
        <v>3110.28</v>
      </c>
      <c r="H13" s="23" t="n">
        <v>78.94</v>
      </c>
      <c r="I13" s="23" t="n">
        <v>326.7</v>
      </c>
      <c r="J13" s="23" t="n">
        <v>147</v>
      </c>
      <c r="K13" s="23" t="n">
        <v>634.55</v>
      </c>
      <c r="L13" s="23" t="n">
        <v>0</v>
      </c>
      <c r="M13" s="24" t="n">
        <f aca="false">SUM(H13:L13)</f>
        <v>1187.19</v>
      </c>
      <c r="N13" s="24" t="n">
        <f aca="false">G13-M13</f>
        <v>1923.09</v>
      </c>
      <c r="O13" s="25" t="n">
        <f aca="false">IFERROR(G13/F13,0)</f>
        <v>0.331445012787724</v>
      </c>
      <c r="P13" s="26"/>
    </row>
    <row r="14" customFormat="false" ht="15" hidden="false" customHeight="false" outlineLevel="0" collapsed="false">
      <c r="A14" s="17" t="n">
        <v>46455</v>
      </c>
      <c r="B14" s="18" t="n">
        <v>3317</v>
      </c>
      <c r="C14" s="18" t="n">
        <v>5810</v>
      </c>
      <c r="D14" s="18" t="n">
        <v>0</v>
      </c>
      <c r="E14" s="18" t="n">
        <v>0</v>
      </c>
      <c r="F14" s="19" t="n">
        <f aca="false">B14+C14+D14+E14</f>
        <v>9127</v>
      </c>
      <c r="G14" s="18" t="n">
        <v>3452.55</v>
      </c>
      <c r="H14" s="18" t="n">
        <v>78.94</v>
      </c>
      <c r="I14" s="18" t="n">
        <v>326.7</v>
      </c>
      <c r="J14" s="18" t="n">
        <v>0</v>
      </c>
      <c r="K14" s="18" t="n">
        <v>634.55</v>
      </c>
      <c r="L14" s="18" t="n">
        <v>0</v>
      </c>
      <c r="M14" s="19" t="n">
        <f aca="false">SUM(H14:L14)</f>
        <v>1040.19</v>
      </c>
      <c r="N14" s="19" t="n">
        <f aca="false">G14-M14</f>
        <v>2412.36</v>
      </c>
      <c r="O14" s="20" t="n">
        <f aca="false">IFERROR(G14/F14,0)</f>
        <v>0.37827873342829</v>
      </c>
      <c r="P14" s="21"/>
    </row>
    <row r="15" customFormat="false" ht="15" hidden="false" customHeight="false" outlineLevel="0" collapsed="false">
      <c r="A15" s="22" t="n">
        <v>46456</v>
      </c>
      <c r="B15" s="23" t="n">
        <v>2759</v>
      </c>
      <c r="C15" s="23" t="n">
        <v>6039</v>
      </c>
      <c r="D15" s="23" t="n">
        <v>0</v>
      </c>
      <c r="E15" s="23" t="n">
        <v>0</v>
      </c>
      <c r="F15" s="24" t="n">
        <f aca="false">B15+C15+D15+E15</f>
        <v>8798</v>
      </c>
      <c r="G15" s="23" t="n">
        <v>2906.35</v>
      </c>
      <c r="H15" s="23" t="n">
        <v>78.94</v>
      </c>
      <c r="I15" s="23" t="n">
        <v>326.7</v>
      </c>
      <c r="J15" s="23" t="n">
        <v>0</v>
      </c>
      <c r="K15" s="23" t="n">
        <v>634.55</v>
      </c>
      <c r="L15" s="23" t="n">
        <v>0</v>
      </c>
      <c r="M15" s="24" t="n">
        <f aca="false">SUM(H15:L15)</f>
        <v>1040.19</v>
      </c>
      <c r="N15" s="24" t="n">
        <f aca="false">G15-M15</f>
        <v>1866.16</v>
      </c>
      <c r="O15" s="25" t="n">
        <f aca="false">IFERROR(G15/F15,0)</f>
        <v>0.33034212320982</v>
      </c>
      <c r="P15" s="26"/>
    </row>
    <row r="16" customFormat="false" ht="15" hidden="false" customHeight="false" outlineLevel="0" collapsed="false">
      <c r="A16" s="17" t="n">
        <v>46457</v>
      </c>
      <c r="B16" s="18" t="n">
        <v>2311</v>
      </c>
      <c r="C16" s="18" t="n">
        <v>6146</v>
      </c>
      <c r="D16" s="18" t="n">
        <v>0</v>
      </c>
      <c r="E16" s="18" t="n">
        <v>0</v>
      </c>
      <c r="F16" s="19" t="n">
        <f aca="false">B16+C16+D16+E16</f>
        <v>8457</v>
      </c>
      <c r="G16" s="18" t="n">
        <v>2664.62</v>
      </c>
      <c r="H16" s="18" t="n">
        <v>78.94</v>
      </c>
      <c r="I16" s="18" t="n">
        <v>326.7</v>
      </c>
      <c r="J16" s="18" t="n">
        <v>0</v>
      </c>
      <c r="K16" s="18" t="n">
        <v>634.55</v>
      </c>
      <c r="L16" s="18" t="n">
        <v>0</v>
      </c>
      <c r="M16" s="19" t="n">
        <f aca="false">SUM(H16:L16)</f>
        <v>1040.19</v>
      </c>
      <c r="N16" s="19" t="n">
        <f aca="false">G16-M16</f>
        <v>1624.43</v>
      </c>
      <c r="O16" s="20" t="n">
        <f aca="false">IFERROR(G16/F16,0)</f>
        <v>0.315078633085018</v>
      </c>
      <c r="P16" s="21"/>
    </row>
    <row r="17" customFormat="false" ht="15" hidden="false" customHeight="false" outlineLevel="0" collapsed="false">
      <c r="A17" s="22" t="n">
        <v>46458</v>
      </c>
      <c r="B17" s="23" t="n">
        <v>3175</v>
      </c>
      <c r="C17" s="23" t="n">
        <v>9285</v>
      </c>
      <c r="D17" s="23" t="n">
        <v>0</v>
      </c>
      <c r="E17" s="23" t="n">
        <v>0</v>
      </c>
      <c r="F17" s="24" t="n">
        <f aca="false">B17+C17+D17+E17</f>
        <v>12460</v>
      </c>
      <c r="G17" s="23" t="n">
        <v>4396.09</v>
      </c>
      <c r="H17" s="23" t="n">
        <v>78.94</v>
      </c>
      <c r="I17" s="23" t="n">
        <v>326.7</v>
      </c>
      <c r="J17" s="23" t="n">
        <v>0</v>
      </c>
      <c r="K17" s="23" t="n">
        <v>634.55</v>
      </c>
      <c r="L17" s="23" t="n">
        <v>0</v>
      </c>
      <c r="M17" s="24" t="n">
        <f aca="false">SUM(H17:L17)</f>
        <v>1040.19</v>
      </c>
      <c r="N17" s="24" t="n">
        <f aca="false">G17-M17</f>
        <v>3355.9</v>
      </c>
      <c r="O17" s="25" t="n">
        <f aca="false">IFERROR(G17/F17,0)</f>
        <v>0.35281621187801</v>
      </c>
      <c r="P17" s="26"/>
    </row>
    <row r="18" customFormat="false" ht="15" hidden="false" customHeight="false" outlineLevel="0" collapsed="false">
      <c r="A18" s="17" t="n">
        <v>46459</v>
      </c>
      <c r="B18" s="18" t="n">
        <v>4230</v>
      </c>
      <c r="C18" s="18" t="n">
        <v>6804</v>
      </c>
      <c r="D18" s="18" t="n">
        <v>0</v>
      </c>
      <c r="E18" s="18" t="n">
        <v>0</v>
      </c>
      <c r="F18" s="19" t="n">
        <f aca="false">B18+C18+D18+E18</f>
        <v>11034</v>
      </c>
      <c r="G18" s="18" t="n">
        <v>3522.64</v>
      </c>
      <c r="H18" s="18" t="n">
        <v>78.94</v>
      </c>
      <c r="I18" s="18" t="n">
        <v>326.7</v>
      </c>
      <c r="J18" s="18" t="n">
        <v>89</v>
      </c>
      <c r="K18" s="18" t="n">
        <v>634.55</v>
      </c>
      <c r="L18" s="18" t="n">
        <v>0</v>
      </c>
      <c r="M18" s="19" t="n">
        <f aca="false">SUM(H18:L18)</f>
        <v>1129.19</v>
      </c>
      <c r="N18" s="19" t="n">
        <f aca="false">G18-M18</f>
        <v>2393.45</v>
      </c>
      <c r="O18" s="20" t="n">
        <f aca="false">IFERROR(G18/F18,0)</f>
        <v>0.319253217328258</v>
      </c>
      <c r="P18" s="21"/>
    </row>
    <row r="19" customFormat="false" ht="15" hidden="false" customHeight="false" outlineLevel="0" collapsed="false">
      <c r="A19" s="22" t="n">
        <v>46460</v>
      </c>
      <c r="B19" s="23" t="n">
        <v>2440</v>
      </c>
      <c r="C19" s="23" t="n">
        <v>4516</v>
      </c>
      <c r="D19" s="23" t="n">
        <v>0</v>
      </c>
      <c r="E19" s="23" t="n">
        <v>0</v>
      </c>
      <c r="F19" s="24" t="n">
        <f aca="false">B19+C19+D19+E19</f>
        <v>6956</v>
      </c>
      <c r="G19" s="23" t="n">
        <v>2572.17</v>
      </c>
      <c r="H19" s="23" t="n">
        <v>78.94</v>
      </c>
      <c r="I19" s="23" t="n">
        <v>326.7</v>
      </c>
      <c r="J19" s="23" t="n">
        <v>0</v>
      </c>
      <c r="K19" s="23" t="n">
        <v>634.55</v>
      </c>
      <c r="L19" s="23" t="n">
        <v>44</v>
      </c>
      <c r="M19" s="24" t="n">
        <f aca="false">SUM(H19:L19)</f>
        <v>1084.19</v>
      </c>
      <c r="N19" s="24" t="n">
        <f aca="false">G19-M19</f>
        <v>1487.98</v>
      </c>
      <c r="O19" s="25" t="n">
        <f aca="false">IFERROR(G19/F19,0)</f>
        <v>0.369777170787809</v>
      </c>
      <c r="P19" s="26"/>
    </row>
    <row r="20" customFormat="false" ht="15" hidden="false" customHeight="false" outlineLevel="0" collapsed="false">
      <c r="A20" s="17" t="n">
        <v>46461</v>
      </c>
      <c r="B20" s="18" t="n">
        <v>2486</v>
      </c>
      <c r="C20" s="18" t="n">
        <v>5026</v>
      </c>
      <c r="D20" s="18" t="n">
        <v>-2011</v>
      </c>
      <c r="E20" s="18" t="n">
        <v>0</v>
      </c>
      <c r="F20" s="19" t="n">
        <f aca="false">B20+C20+D20+E20</f>
        <v>5501</v>
      </c>
      <c r="G20" s="18" t="n">
        <v>1991.83</v>
      </c>
      <c r="H20" s="18" t="n">
        <v>78.94</v>
      </c>
      <c r="I20" s="18" t="n">
        <v>326.7</v>
      </c>
      <c r="J20" s="18" t="n">
        <v>149</v>
      </c>
      <c r="K20" s="18" t="n">
        <v>634.55</v>
      </c>
      <c r="L20" s="18" t="n">
        <v>0</v>
      </c>
      <c r="M20" s="19" t="n">
        <f aca="false">SUM(H20:L20)</f>
        <v>1189.19</v>
      </c>
      <c r="N20" s="19" t="n">
        <f aca="false">G20-M20</f>
        <v>802.64</v>
      </c>
      <c r="O20" s="20" t="n">
        <f aca="false">IFERROR(G20/F20,0)</f>
        <v>0.362085075440829</v>
      </c>
      <c r="P20" s="21"/>
    </row>
    <row r="21" customFormat="false" ht="15" hidden="false" customHeight="false" outlineLevel="0" collapsed="false">
      <c r="A21" s="22" t="n">
        <v>46462</v>
      </c>
      <c r="B21" s="23" t="n">
        <v>3779</v>
      </c>
      <c r="C21" s="23" t="n">
        <v>5975</v>
      </c>
      <c r="D21" s="23" t="n">
        <v>0</v>
      </c>
      <c r="E21" s="23" t="n">
        <v>0</v>
      </c>
      <c r="F21" s="24" t="n">
        <f aca="false">B21+C21+D21+E21</f>
        <v>9754</v>
      </c>
      <c r="G21" s="23" t="n">
        <v>3375.75</v>
      </c>
      <c r="H21" s="23" t="n">
        <v>78.94</v>
      </c>
      <c r="I21" s="23" t="n">
        <v>326.7</v>
      </c>
      <c r="J21" s="23" t="n">
        <v>0</v>
      </c>
      <c r="K21" s="23" t="n">
        <v>634.55</v>
      </c>
      <c r="L21" s="23" t="n">
        <v>0</v>
      </c>
      <c r="M21" s="24" t="n">
        <f aca="false">SUM(H21:L21)</f>
        <v>1040.19</v>
      </c>
      <c r="N21" s="24" t="n">
        <f aca="false">G21-M21</f>
        <v>2335.56</v>
      </c>
      <c r="O21" s="25" t="n">
        <f aca="false">IFERROR(G21/F21,0)</f>
        <v>0.346088784088579</v>
      </c>
      <c r="P21" s="26"/>
    </row>
    <row r="22" customFormat="false" ht="15" hidden="false" customHeight="false" outlineLevel="0" collapsed="false">
      <c r="A22" s="17" t="n">
        <v>46463</v>
      </c>
      <c r="B22" s="18" t="n">
        <v>2425</v>
      </c>
      <c r="C22" s="18" t="n">
        <v>4080</v>
      </c>
      <c r="D22" s="18" t="n">
        <v>0</v>
      </c>
      <c r="E22" s="18" t="n">
        <v>778</v>
      </c>
      <c r="F22" s="19" t="n">
        <f aca="false">B22+C22+D22+E22</f>
        <v>7283</v>
      </c>
      <c r="G22" s="18" t="n">
        <v>2695.44</v>
      </c>
      <c r="H22" s="18" t="n">
        <v>78.94</v>
      </c>
      <c r="I22" s="18" t="n">
        <v>326.7</v>
      </c>
      <c r="J22" s="18" t="n">
        <v>0</v>
      </c>
      <c r="K22" s="18" t="n">
        <v>634.55</v>
      </c>
      <c r="L22" s="18" t="n">
        <v>0</v>
      </c>
      <c r="M22" s="19" t="n">
        <f aca="false">SUM(H22:L22)</f>
        <v>1040.19</v>
      </c>
      <c r="N22" s="19" t="n">
        <f aca="false">G22-M22</f>
        <v>1655.25</v>
      </c>
      <c r="O22" s="20" t="n">
        <f aca="false">IFERROR(G22/F22,0)</f>
        <v>0.370100233420294</v>
      </c>
      <c r="P22" s="21"/>
    </row>
    <row r="23" customFormat="false" ht="15" hidden="false" customHeight="false" outlineLevel="0" collapsed="false">
      <c r="A23" s="22" t="n">
        <v>46464</v>
      </c>
      <c r="B23" s="23" t="n">
        <v>2932</v>
      </c>
      <c r="C23" s="23" t="n">
        <v>6465</v>
      </c>
      <c r="D23" s="23" t="n">
        <v>0</v>
      </c>
      <c r="E23" s="23" t="n">
        <v>0</v>
      </c>
      <c r="F23" s="24" t="n">
        <f aca="false">B23+C23+D23+E23</f>
        <v>9397</v>
      </c>
      <c r="G23" s="23" t="n">
        <v>3025.95</v>
      </c>
      <c r="H23" s="23" t="n">
        <v>78.94</v>
      </c>
      <c r="I23" s="23" t="n">
        <v>326.7</v>
      </c>
      <c r="J23" s="23" t="n">
        <v>0</v>
      </c>
      <c r="K23" s="23" t="n">
        <v>634.55</v>
      </c>
      <c r="L23" s="23" t="n">
        <v>0</v>
      </c>
      <c r="M23" s="24" t="n">
        <f aca="false">SUM(H23:L23)</f>
        <v>1040.19</v>
      </c>
      <c r="N23" s="24" t="n">
        <f aca="false">G23-M23</f>
        <v>1985.76</v>
      </c>
      <c r="O23" s="25" t="n">
        <f aca="false">IFERROR(G23/F23,0)</f>
        <v>0.322012344365223</v>
      </c>
      <c r="P23" s="26"/>
    </row>
    <row r="24" customFormat="false" ht="15" hidden="false" customHeight="false" outlineLevel="0" collapsed="false">
      <c r="A24" s="17" t="n">
        <v>46465</v>
      </c>
      <c r="B24" s="18" t="n">
        <v>4716</v>
      </c>
      <c r="C24" s="18" t="n">
        <v>8373</v>
      </c>
      <c r="D24" s="18" t="n">
        <v>0</v>
      </c>
      <c r="E24" s="18" t="n">
        <v>0</v>
      </c>
      <c r="F24" s="19" t="n">
        <f aca="false">B24+C24+D24+E24</f>
        <v>13089</v>
      </c>
      <c r="G24" s="18" t="n">
        <v>4110.09</v>
      </c>
      <c r="H24" s="18" t="n">
        <v>78.94</v>
      </c>
      <c r="I24" s="18" t="n">
        <v>326.7</v>
      </c>
      <c r="J24" s="18" t="n">
        <v>0</v>
      </c>
      <c r="K24" s="18" t="n">
        <v>634.55</v>
      </c>
      <c r="L24" s="18" t="n">
        <v>0</v>
      </c>
      <c r="M24" s="19" t="n">
        <f aca="false">SUM(H24:L24)</f>
        <v>1040.19</v>
      </c>
      <c r="N24" s="19" t="n">
        <f aca="false">G24-M24</f>
        <v>3069.9</v>
      </c>
      <c r="O24" s="20" t="n">
        <f aca="false">IFERROR(G24/F24,0)</f>
        <v>0.314011001604401</v>
      </c>
      <c r="P24" s="21"/>
    </row>
    <row r="25" customFormat="false" ht="15" hidden="false" customHeight="false" outlineLevel="0" collapsed="false">
      <c r="A25" s="22" t="n">
        <v>46466</v>
      </c>
      <c r="B25" s="23" t="n">
        <v>2383</v>
      </c>
      <c r="C25" s="23" t="n">
        <v>6889</v>
      </c>
      <c r="D25" s="23" t="n">
        <v>0</v>
      </c>
      <c r="E25" s="23" t="n">
        <v>0</v>
      </c>
      <c r="F25" s="24" t="n">
        <f aca="false">B25+C25+D25+E25</f>
        <v>9272</v>
      </c>
      <c r="G25" s="23" t="n">
        <v>3037.07</v>
      </c>
      <c r="H25" s="23" t="n">
        <v>78.94</v>
      </c>
      <c r="I25" s="23" t="n">
        <v>326.7</v>
      </c>
      <c r="J25" s="23" t="n">
        <v>0</v>
      </c>
      <c r="K25" s="23" t="n">
        <v>634.55</v>
      </c>
      <c r="L25" s="23" t="n">
        <v>0</v>
      </c>
      <c r="M25" s="24" t="n">
        <f aca="false">SUM(H25:L25)</f>
        <v>1040.19</v>
      </c>
      <c r="N25" s="24" t="n">
        <f aca="false">G25-M25</f>
        <v>1996.88</v>
      </c>
      <c r="O25" s="25" t="n">
        <f aca="false">IFERROR(G25/F25,0)</f>
        <v>0.32755284728214</v>
      </c>
      <c r="P25" s="26"/>
    </row>
    <row r="26" customFormat="false" ht="15" hidden="false" customHeight="false" outlineLevel="0" collapsed="false">
      <c r="A26" s="17" t="n">
        <v>46467</v>
      </c>
      <c r="B26" s="18" t="n">
        <v>2296</v>
      </c>
      <c r="C26" s="18" t="n">
        <v>4689</v>
      </c>
      <c r="D26" s="18" t="n">
        <v>0</v>
      </c>
      <c r="E26" s="18" t="n">
        <v>0</v>
      </c>
      <c r="F26" s="19" t="n">
        <f aca="false">B26+C26+D26+E26</f>
        <v>6985</v>
      </c>
      <c r="G26" s="18" t="n">
        <v>2484.6</v>
      </c>
      <c r="H26" s="18" t="n">
        <v>78.94</v>
      </c>
      <c r="I26" s="18" t="n">
        <v>326.7</v>
      </c>
      <c r="J26" s="18" t="n">
        <v>0</v>
      </c>
      <c r="K26" s="18" t="n">
        <v>634.55</v>
      </c>
      <c r="L26" s="18" t="n">
        <v>0</v>
      </c>
      <c r="M26" s="19" t="n">
        <f aca="false">SUM(H26:L26)</f>
        <v>1040.19</v>
      </c>
      <c r="N26" s="19" t="n">
        <f aca="false">G26-M26</f>
        <v>1444.41</v>
      </c>
      <c r="O26" s="20" t="n">
        <f aca="false">IFERROR(G26/F26,0)</f>
        <v>0.355705082319256</v>
      </c>
      <c r="P26" s="21"/>
    </row>
    <row r="27" customFormat="false" ht="15" hidden="false" customHeight="false" outlineLevel="0" collapsed="false">
      <c r="A27" s="22" t="n">
        <v>46468</v>
      </c>
      <c r="B27" s="23" t="n">
        <v>1865</v>
      </c>
      <c r="C27" s="23" t="n">
        <v>4852</v>
      </c>
      <c r="D27" s="23" t="n">
        <v>0</v>
      </c>
      <c r="E27" s="23" t="n">
        <v>0</v>
      </c>
      <c r="F27" s="24" t="n">
        <f aca="false">B27+C27+D27+E27</f>
        <v>6717</v>
      </c>
      <c r="G27" s="23" t="n">
        <v>2304.16</v>
      </c>
      <c r="H27" s="23" t="n">
        <v>78.94</v>
      </c>
      <c r="I27" s="23" t="n">
        <v>326.7</v>
      </c>
      <c r="J27" s="23" t="n">
        <v>0</v>
      </c>
      <c r="K27" s="23" t="n">
        <v>634.55</v>
      </c>
      <c r="L27" s="23" t="n">
        <v>0</v>
      </c>
      <c r="M27" s="24" t="n">
        <f aca="false">SUM(H27:L27)</f>
        <v>1040.19</v>
      </c>
      <c r="N27" s="24" t="n">
        <f aca="false">G27-M27</f>
        <v>1263.97</v>
      </c>
      <c r="O27" s="25" t="n">
        <f aca="false">IFERROR(G27/F27,0)</f>
        <v>0.343034092600864</v>
      </c>
      <c r="P27" s="26"/>
    </row>
    <row r="28" customFormat="false" ht="15" hidden="false" customHeight="false" outlineLevel="0" collapsed="false">
      <c r="A28" s="17" t="n">
        <v>46469</v>
      </c>
      <c r="B28" s="18" t="n">
        <v>3597</v>
      </c>
      <c r="C28" s="18" t="n">
        <v>5904</v>
      </c>
      <c r="D28" s="18" t="n">
        <v>0</v>
      </c>
      <c r="E28" s="18" t="n">
        <v>0</v>
      </c>
      <c r="F28" s="19" t="n">
        <f aca="false">B28+C28+D28+E28</f>
        <v>9501</v>
      </c>
      <c r="G28" s="18" t="n">
        <v>2960.02</v>
      </c>
      <c r="H28" s="18" t="n">
        <v>78.94</v>
      </c>
      <c r="I28" s="18" t="n">
        <v>326.7</v>
      </c>
      <c r="J28" s="18" t="n">
        <v>0</v>
      </c>
      <c r="K28" s="18" t="n">
        <v>634.55</v>
      </c>
      <c r="L28" s="18" t="n">
        <v>41</v>
      </c>
      <c r="M28" s="19" t="n">
        <f aca="false">SUM(H28:L28)</f>
        <v>1081.19</v>
      </c>
      <c r="N28" s="19" t="n">
        <f aca="false">G28-M28</f>
        <v>1878.83</v>
      </c>
      <c r="O28" s="20" t="n">
        <f aca="false">IFERROR(G28/F28,0)</f>
        <v>0.311548258078097</v>
      </c>
      <c r="P28" s="21"/>
    </row>
    <row r="29" customFormat="false" ht="15" hidden="false" customHeight="false" outlineLevel="0" collapsed="false">
      <c r="A29" s="22" t="n">
        <v>46470</v>
      </c>
      <c r="B29" s="23" t="n">
        <v>2448</v>
      </c>
      <c r="C29" s="23" t="n">
        <v>5387</v>
      </c>
      <c r="D29" s="23" t="n">
        <v>0</v>
      </c>
      <c r="E29" s="23" t="n">
        <v>0</v>
      </c>
      <c r="F29" s="24" t="n">
        <f aca="false">B29+C29+D29+E29</f>
        <v>7835</v>
      </c>
      <c r="G29" s="23" t="n">
        <v>2682.7</v>
      </c>
      <c r="H29" s="23" t="n">
        <v>78.94</v>
      </c>
      <c r="I29" s="23" t="n">
        <v>326.7</v>
      </c>
      <c r="J29" s="23" t="n">
        <v>0</v>
      </c>
      <c r="K29" s="23" t="n">
        <v>634.55</v>
      </c>
      <c r="L29" s="23" t="n">
        <v>0</v>
      </c>
      <c r="M29" s="24" t="n">
        <f aca="false">SUM(H29:L29)</f>
        <v>1040.19</v>
      </c>
      <c r="N29" s="24" t="n">
        <f aca="false">G29-M29</f>
        <v>1642.51</v>
      </c>
      <c r="O29" s="25" t="n">
        <f aca="false">IFERROR(G29/F29,0)</f>
        <v>0.342399489470325</v>
      </c>
      <c r="P29" s="26"/>
    </row>
    <row r="30" customFormat="false" ht="15" hidden="false" customHeight="false" outlineLevel="0" collapsed="false">
      <c r="A30" s="17" t="n">
        <v>46471</v>
      </c>
      <c r="B30" s="18" t="n">
        <v>2635</v>
      </c>
      <c r="C30" s="18" t="n">
        <v>6163</v>
      </c>
      <c r="D30" s="18" t="n">
        <v>0</v>
      </c>
      <c r="E30" s="18" t="n">
        <v>0</v>
      </c>
      <c r="F30" s="19" t="n">
        <f aca="false">B30+C30+D30+E30</f>
        <v>8798</v>
      </c>
      <c r="G30" s="18" t="n">
        <v>2695.05</v>
      </c>
      <c r="H30" s="18" t="n">
        <v>78.94</v>
      </c>
      <c r="I30" s="18" t="n">
        <v>326.7</v>
      </c>
      <c r="J30" s="18" t="n">
        <v>0</v>
      </c>
      <c r="K30" s="18" t="n">
        <v>634.55</v>
      </c>
      <c r="L30" s="18" t="n">
        <v>0</v>
      </c>
      <c r="M30" s="19" t="n">
        <f aca="false">SUM(H30:L30)</f>
        <v>1040.19</v>
      </c>
      <c r="N30" s="19" t="n">
        <f aca="false">G30-M30</f>
        <v>1654.86</v>
      </c>
      <c r="O30" s="20" t="n">
        <f aca="false">IFERROR(G30/F30,0)</f>
        <v>0.306325301204819</v>
      </c>
      <c r="P30" s="21"/>
    </row>
    <row r="31" customFormat="false" ht="15" hidden="false" customHeight="false" outlineLevel="0" collapsed="false">
      <c r="A31" s="22" t="n">
        <v>46472</v>
      </c>
      <c r="B31" s="23" t="n">
        <v>3989</v>
      </c>
      <c r="C31" s="23" t="n">
        <v>8087</v>
      </c>
      <c r="D31" s="23" t="n">
        <v>0</v>
      </c>
      <c r="E31" s="23" t="n">
        <v>0</v>
      </c>
      <c r="F31" s="24" t="n">
        <f aca="false">B31+C31+D31+E31</f>
        <v>12076</v>
      </c>
      <c r="G31" s="23" t="n">
        <v>4424.07</v>
      </c>
      <c r="H31" s="23" t="n">
        <v>78.94</v>
      </c>
      <c r="I31" s="23" t="n">
        <v>326.7</v>
      </c>
      <c r="J31" s="23" t="n">
        <v>57</v>
      </c>
      <c r="K31" s="23" t="n">
        <v>634.55</v>
      </c>
      <c r="L31" s="23" t="n">
        <v>0</v>
      </c>
      <c r="M31" s="24" t="n">
        <f aca="false">SUM(H31:L31)</f>
        <v>1097.19</v>
      </c>
      <c r="N31" s="24" t="n">
        <f aca="false">G31-M31</f>
        <v>3326.88</v>
      </c>
      <c r="O31" s="25" t="n">
        <f aca="false">IFERROR(G31/F31,0)</f>
        <v>0.366352268963233</v>
      </c>
      <c r="P31" s="26"/>
    </row>
    <row r="32" customFormat="false" ht="15" hidden="false" customHeight="false" outlineLevel="0" collapsed="false">
      <c r="A32" s="17" t="n">
        <v>46473</v>
      </c>
      <c r="B32" s="18" t="n">
        <v>2773</v>
      </c>
      <c r="C32" s="18" t="n">
        <v>8061</v>
      </c>
      <c r="D32" s="18" t="n">
        <v>0</v>
      </c>
      <c r="E32" s="18" t="n">
        <v>0</v>
      </c>
      <c r="F32" s="19" t="n">
        <f aca="false">B32+C32+D32+E32</f>
        <v>10834</v>
      </c>
      <c r="G32" s="18" t="n">
        <v>3313.28</v>
      </c>
      <c r="H32" s="18" t="n">
        <v>78.94</v>
      </c>
      <c r="I32" s="18" t="n">
        <v>326.7</v>
      </c>
      <c r="J32" s="18" t="n">
        <v>0</v>
      </c>
      <c r="K32" s="18" t="n">
        <v>634.55</v>
      </c>
      <c r="L32" s="18" t="n">
        <v>0</v>
      </c>
      <c r="M32" s="19" t="n">
        <f aca="false">SUM(H32:L32)</f>
        <v>1040.19</v>
      </c>
      <c r="N32" s="19" t="n">
        <f aca="false">G32-M32</f>
        <v>2273.09</v>
      </c>
      <c r="O32" s="20" t="n">
        <f aca="false">IFERROR(G32/F32,0)</f>
        <v>0.305822410928558</v>
      </c>
      <c r="P32" s="21"/>
    </row>
    <row r="33" customFormat="false" ht="15" hidden="false" customHeight="false" outlineLevel="0" collapsed="false">
      <c r="A33" s="22" t="n">
        <v>46474</v>
      </c>
      <c r="B33" s="23" t="n">
        <v>2886</v>
      </c>
      <c r="C33" s="23" t="n">
        <v>5342</v>
      </c>
      <c r="D33" s="23" t="n">
        <v>0</v>
      </c>
      <c r="E33" s="23" t="n">
        <v>0</v>
      </c>
      <c r="F33" s="24" t="n">
        <f aca="false">B33+C33+D33+E33</f>
        <v>8228</v>
      </c>
      <c r="G33" s="23" t="n">
        <v>2611.25</v>
      </c>
      <c r="H33" s="23" t="n">
        <v>78.94</v>
      </c>
      <c r="I33" s="23" t="n">
        <v>326.7</v>
      </c>
      <c r="J33" s="23" t="n">
        <v>0</v>
      </c>
      <c r="K33" s="23" t="n">
        <v>634.55</v>
      </c>
      <c r="L33" s="23" t="n">
        <v>0</v>
      </c>
      <c r="M33" s="24" t="n">
        <f aca="false">SUM(H33:L33)</f>
        <v>1040.19</v>
      </c>
      <c r="N33" s="24" t="n">
        <f aca="false">G33-M33</f>
        <v>1571.06</v>
      </c>
      <c r="O33" s="25" t="n">
        <f aca="false">IFERROR(G33/F33,0)</f>
        <v>0.317361448711716</v>
      </c>
      <c r="P33" s="26"/>
    </row>
    <row r="34" customFormat="false" ht="15" hidden="false" customHeight="false" outlineLevel="0" collapsed="false">
      <c r="A34" s="17" t="n">
        <v>46475</v>
      </c>
      <c r="B34" s="18" t="n">
        <v>2320</v>
      </c>
      <c r="C34" s="18" t="n">
        <v>5530</v>
      </c>
      <c r="D34" s="18" t="n">
        <v>0</v>
      </c>
      <c r="E34" s="18" t="n">
        <v>0</v>
      </c>
      <c r="F34" s="19" t="n">
        <f aca="false">B34+C34+D34+E34</f>
        <v>7850</v>
      </c>
      <c r="G34" s="18" t="n">
        <v>2925.85</v>
      </c>
      <c r="H34" s="18" t="n">
        <v>78.94</v>
      </c>
      <c r="I34" s="18" t="n">
        <v>326.7</v>
      </c>
      <c r="J34" s="18" t="n">
        <v>0</v>
      </c>
      <c r="K34" s="18" t="n">
        <v>634.55</v>
      </c>
      <c r="L34" s="18" t="n">
        <v>0</v>
      </c>
      <c r="M34" s="19" t="n">
        <f aca="false">SUM(H34:L34)</f>
        <v>1040.19</v>
      </c>
      <c r="N34" s="19" t="n">
        <f aca="false">G34-M34</f>
        <v>1885.66</v>
      </c>
      <c r="O34" s="20" t="n">
        <f aca="false">IFERROR(G34/F34,0)</f>
        <v>0.37271974522293</v>
      </c>
      <c r="P34" s="21"/>
    </row>
    <row r="35" customFormat="false" ht="15" hidden="false" customHeight="false" outlineLevel="0" collapsed="false">
      <c r="A35" s="22" t="n">
        <v>46476</v>
      </c>
      <c r="B35" s="23" t="n">
        <v>2267</v>
      </c>
      <c r="C35" s="23" t="n">
        <v>4010</v>
      </c>
      <c r="D35" s="23" t="n">
        <v>0</v>
      </c>
      <c r="E35" s="23" t="n">
        <v>0</v>
      </c>
      <c r="F35" s="24" t="n">
        <f aca="false">B35+C35+D35+E35</f>
        <v>6277</v>
      </c>
      <c r="G35" s="23" t="n">
        <v>2258.15</v>
      </c>
      <c r="H35" s="23" t="n">
        <v>78.94</v>
      </c>
      <c r="I35" s="23" t="n">
        <v>326.7</v>
      </c>
      <c r="J35" s="23" t="n">
        <v>0</v>
      </c>
      <c r="K35" s="23" t="n">
        <v>634.55</v>
      </c>
      <c r="L35" s="23" t="n">
        <v>0</v>
      </c>
      <c r="M35" s="24" t="n">
        <f aca="false">SUM(H35:L35)</f>
        <v>1040.19</v>
      </c>
      <c r="N35" s="24" t="n">
        <f aca="false">G35-M35</f>
        <v>1217.96</v>
      </c>
      <c r="O35" s="25" t="n">
        <f aca="false">IFERROR(G35/F35,0)</f>
        <v>0.35974988051617</v>
      </c>
      <c r="P35" s="26"/>
    </row>
    <row r="36" customFormat="false" ht="15" hidden="false" customHeight="false" outlineLevel="0" collapsed="false">
      <c r="A36" s="17" t="n">
        <v>46477</v>
      </c>
      <c r="B36" s="18" t="n">
        <v>2333</v>
      </c>
      <c r="C36" s="18" t="n">
        <v>4252</v>
      </c>
      <c r="D36" s="18" t="n">
        <v>0</v>
      </c>
      <c r="E36" s="18" t="n">
        <v>0</v>
      </c>
      <c r="F36" s="19" t="n">
        <f aca="false">B36+C36+D36+E36</f>
        <v>6585</v>
      </c>
      <c r="G36" s="18" t="n">
        <v>2346.25</v>
      </c>
      <c r="H36" s="18" t="n">
        <v>78.94</v>
      </c>
      <c r="I36" s="18" t="n">
        <v>326.7</v>
      </c>
      <c r="J36" s="18" t="n">
        <v>0</v>
      </c>
      <c r="K36" s="18" t="n">
        <v>634.55</v>
      </c>
      <c r="L36" s="18" t="n">
        <v>0</v>
      </c>
      <c r="M36" s="19" t="n">
        <f aca="false">SUM(H36:L36)</f>
        <v>1040.19</v>
      </c>
      <c r="N36" s="19" t="n">
        <f aca="false">G36-M36</f>
        <v>1306.06</v>
      </c>
      <c r="O36" s="20" t="n">
        <f aca="false">IFERROR(G36/F36,0)</f>
        <v>0.356302201974184</v>
      </c>
      <c r="P36" s="21"/>
    </row>
    <row r="38" customFormat="false" ht="15" hidden="false" customHeight="false" outlineLevel="0" collapsed="false">
      <c r="A38" s="27" t="s">
        <v>51</v>
      </c>
      <c r="B38" s="28" t="n">
        <f aca="false">SUM(B6:B36)</f>
        <v>86644</v>
      </c>
      <c r="C38" s="28" t="n">
        <f aca="false">SUM(C6:C36)</f>
        <v>181356</v>
      </c>
      <c r="D38" s="28" t="n">
        <f aca="false">SUM(D6:D36)</f>
        <v>-2011</v>
      </c>
      <c r="E38" s="28" t="n">
        <f aca="false">SUM(E6:E36)</f>
        <v>778</v>
      </c>
      <c r="F38" s="28" t="n">
        <f aca="false">SUM(F6:F36)</f>
        <v>266767</v>
      </c>
      <c r="G38" s="28" t="n">
        <f aca="false">SUM(G6:G36)</f>
        <v>90714.41</v>
      </c>
      <c r="H38" s="28" t="n">
        <f aca="false">SUM(H6:H36)</f>
        <v>2447.14</v>
      </c>
      <c r="I38" s="28" t="n">
        <f aca="false">SUM(I6:I36)</f>
        <v>10127.7</v>
      </c>
      <c r="J38" s="28" t="n">
        <f aca="false">SUM(J6:J36)</f>
        <v>667</v>
      </c>
      <c r="K38" s="28" t="n">
        <f aca="false">SUM(K6:K36)</f>
        <v>19036.5</v>
      </c>
      <c r="L38" s="28" t="n">
        <f aca="false">SUM(L6:L36)</f>
        <v>107</v>
      </c>
      <c r="M38" s="28" t="n">
        <f aca="false">SUM(M6:M36)</f>
        <v>32385.34</v>
      </c>
      <c r="N38" s="28" t="n">
        <f aca="false">SUM(N6:N36)</f>
        <v>58329.07</v>
      </c>
      <c r="O38" s="29" t="n">
        <f aca="false">IFERROR(G38/F38,0)</f>
        <v>0.340051093276155</v>
      </c>
      <c r="P38" s="27"/>
    </row>
  </sheetData>
  <mergeCells count="2">
    <mergeCell ref="A1:P1"/>
    <mergeCell ref="A2:P2"/>
  </mergeCells>
  <conditionalFormatting sqref="N6:N3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4" min="14" style="0" width="14"/>
  </cols>
  <sheetData>
    <row r="1" customFormat="false" ht="25.5" hidden="false" customHeight="true" outlineLevel="0" collapsed="false">
      <c r="A1" s="8" t="s">
        <v>63</v>
      </c>
      <c r="B1" s="8"/>
      <c r="C1" s="8"/>
      <c r="D1" s="8"/>
      <c r="E1" s="8"/>
      <c r="F1" s="8"/>
      <c r="G1" s="8"/>
      <c r="H1" s="8"/>
      <c r="I1" s="8"/>
    </row>
    <row r="2" customFormat="false" ht="15.75" hidden="false" customHeight="true" outlineLevel="0" collapsed="false">
      <c r="A2" s="15" t="s">
        <v>64</v>
      </c>
      <c r="B2" s="15"/>
      <c r="C2" s="15"/>
      <c r="D2" s="15"/>
      <c r="E2" s="15"/>
      <c r="F2" s="15"/>
      <c r="G2" s="15"/>
      <c r="H2" s="15"/>
      <c r="I2" s="15"/>
    </row>
    <row r="4" customFormat="false" ht="26.85" hidden="false" customHeight="false" outlineLevel="0" collapsed="false">
      <c r="A4" s="16" t="s">
        <v>65</v>
      </c>
      <c r="B4" s="16" t="s">
        <v>66</v>
      </c>
      <c r="C4" s="16" t="s">
        <v>39</v>
      </c>
      <c r="D4" s="16" t="s">
        <v>40</v>
      </c>
      <c r="E4" s="16" t="s">
        <v>46</v>
      </c>
      <c r="F4" s="16" t="s">
        <v>47</v>
      </c>
      <c r="G4" s="16" t="s">
        <v>48</v>
      </c>
      <c r="H4" s="16" t="s">
        <v>67</v>
      </c>
      <c r="I4" s="16" t="s">
        <v>68</v>
      </c>
      <c r="J4" s="16" t="s">
        <v>69</v>
      </c>
      <c r="K4" s="14" t="s">
        <v>70</v>
      </c>
      <c r="L4" s="14" t="s">
        <v>71</v>
      </c>
      <c r="M4" s="14" t="s">
        <v>72</v>
      </c>
      <c r="N4" s="14" t="s">
        <v>73</v>
      </c>
    </row>
    <row r="5" customFormat="false" ht="15" hidden="false" customHeight="false" outlineLevel="0" collapsed="false">
      <c r="A5" s="30" t="s">
        <v>74</v>
      </c>
      <c r="B5" s="31" t="str">
        <f aca="false">IF('April 2026'!$F$38&gt;0,"Actual","Projected")</f>
        <v>Actual</v>
      </c>
      <c r="C5" s="32" t="n">
        <f aca="false">'April 2026'!F38</f>
        <v>87824</v>
      </c>
      <c r="D5" s="32" t="n">
        <f aca="false">'April 2026'!G38</f>
        <v>29566.02</v>
      </c>
      <c r="E5" s="32" t="n">
        <f aca="false">'April 2026'!M38</f>
        <v>32198.24</v>
      </c>
      <c r="F5" s="32" t="n">
        <f aca="false">D5-E5</f>
        <v>-2632.22000000001</v>
      </c>
      <c r="G5" s="33" t="n">
        <f aca="false">IFERROR(D5/C5,0)</f>
        <v>0.336650801603206</v>
      </c>
      <c r="H5" s="32" t="n">
        <f aca="false">F5</f>
        <v>-2632.22000000001</v>
      </c>
      <c r="I5" s="34"/>
      <c r="J5" s="32" t="n">
        <f aca="false">SUMIF('Stock Purchases'!$I$5:$I$500,A5,'Stock Purchases'!$F$5:$F$500)</f>
        <v>43834</v>
      </c>
      <c r="K5" s="35" t="n">
        <f aca="false">IF($B5="Actual",F5,"")</f>
        <v>-2632.22000000001</v>
      </c>
      <c r="L5" s="35" t="str">
        <f aca="false">IF(OR($B5="Projected",AND($B5="Actual",B6="Projected")),F5,"")</f>
        <v/>
      </c>
      <c r="M5" s="35" t="n">
        <f aca="false">IF($B5="Actual",C5,"")</f>
        <v>87824</v>
      </c>
      <c r="N5" s="35" t="str">
        <f aca="false">IF(OR($B5="Projected",AND($B5="Actual",B6="Projected")),C5,"")</f>
        <v/>
      </c>
    </row>
    <row r="6" customFormat="false" ht="15" hidden="false" customHeight="false" outlineLevel="0" collapsed="false">
      <c r="A6" s="30" t="s">
        <v>75</v>
      </c>
      <c r="B6" s="31" t="str">
        <f aca="false">IF('May 2026'!$F$38&gt;0,"Actual","Projected")</f>
        <v>Actual</v>
      </c>
      <c r="C6" s="32" t="n">
        <f aca="false">'May 2026'!F38</f>
        <v>151835</v>
      </c>
      <c r="D6" s="32" t="n">
        <f aca="false">'May 2026'!G38</f>
        <v>51201.26</v>
      </c>
      <c r="E6" s="32" t="n">
        <f aca="false">'May 2026'!M38</f>
        <v>30493.29</v>
      </c>
      <c r="F6" s="32" t="n">
        <f aca="false">D6-E6</f>
        <v>20707.97</v>
      </c>
      <c r="G6" s="33" t="n">
        <f aca="false">IFERROR(D6/C6,0)</f>
        <v>0.337216452069681</v>
      </c>
      <c r="H6" s="32" t="n">
        <f aca="false">H5+F6</f>
        <v>18075.75</v>
      </c>
      <c r="I6" s="34"/>
      <c r="J6" s="32" t="n">
        <f aca="false">SUMIF('Stock Purchases'!$I$5:$I$500,A6,'Stock Purchases'!$F$5:$F$500)</f>
        <v>182669</v>
      </c>
      <c r="K6" s="35" t="n">
        <f aca="false">IF($B6="Actual",F6,"")</f>
        <v>20707.97</v>
      </c>
      <c r="L6" s="35" t="str">
        <f aca="false">IF(OR($B6="Projected",AND($B6="Actual",B7="Projected")),F6,"")</f>
        <v/>
      </c>
      <c r="M6" s="35" t="n">
        <f aca="false">IF($B6="Actual",C6,"")</f>
        <v>151835</v>
      </c>
      <c r="N6" s="35" t="str">
        <f aca="false">IF(OR($B6="Projected",AND($B6="Actual",B7="Projected")),C6,"")</f>
        <v/>
      </c>
    </row>
    <row r="7" customFormat="false" ht="15" hidden="false" customHeight="false" outlineLevel="0" collapsed="false">
      <c r="A7" s="30" t="s">
        <v>76</v>
      </c>
      <c r="B7" s="31" t="str">
        <f aca="false">IF('June 2026'!$F$38&gt;0,"Actual","Projected")</f>
        <v>Actual</v>
      </c>
      <c r="C7" s="32" t="n">
        <f aca="false">'June 2026'!F38</f>
        <v>71403</v>
      </c>
      <c r="D7" s="32" t="n">
        <f aca="false">'June 2026'!G38</f>
        <v>24066.21</v>
      </c>
      <c r="E7" s="32" t="n">
        <f aca="false">'June 2026'!M38</f>
        <v>28121.66</v>
      </c>
      <c r="F7" s="32" t="n">
        <f aca="false">D7-E7</f>
        <v>-4055.45</v>
      </c>
      <c r="G7" s="33" t="n">
        <f aca="false">IFERROR(D7/C7,0)</f>
        <v>0.337047603041889</v>
      </c>
      <c r="H7" s="32" t="n">
        <f aca="false">H6+F7</f>
        <v>14020.3</v>
      </c>
      <c r="I7" s="34"/>
      <c r="J7" s="32" t="n">
        <f aca="false">SUMIF('Stock Purchases'!$I$5:$I$500,A7,'Stock Purchases'!$F$5:$F$500)</f>
        <v>203935</v>
      </c>
      <c r="K7" s="35" t="n">
        <f aca="false">IF($B7="Actual",F7,"")</f>
        <v>-4055.45</v>
      </c>
      <c r="L7" s="35" t="str">
        <f aca="false">IF(OR($B7="Projected",AND($B7="Actual",B8="Projected")),F7,"")</f>
        <v/>
      </c>
      <c r="M7" s="35" t="n">
        <f aca="false">IF($B7="Actual",C7,"")</f>
        <v>71403</v>
      </c>
      <c r="N7" s="35" t="str">
        <f aca="false">IF(OR($B7="Projected",AND($B7="Actual",B8="Projected")),C7,"")</f>
        <v/>
      </c>
    </row>
    <row r="8" customFormat="false" ht="15" hidden="false" customHeight="false" outlineLevel="0" collapsed="false">
      <c r="A8" s="30" t="s">
        <v>77</v>
      </c>
      <c r="B8" s="31" t="str">
        <f aca="false">IF('July 2026'!$F$38&gt;0,"Actual","Projected")</f>
        <v>Actual</v>
      </c>
      <c r="C8" s="32" t="n">
        <f aca="false">'July 2026'!F38</f>
        <v>110453</v>
      </c>
      <c r="D8" s="32" t="n">
        <f aca="false">'July 2026'!G38</f>
        <v>37272.54</v>
      </c>
      <c r="E8" s="32" t="n">
        <f aca="false">'July 2026'!M38</f>
        <v>31496.45</v>
      </c>
      <c r="F8" s="32" t="n">
        <f aca="false">D8-E8</f>
        <v>5776.09</v>
      </c>
      <c r="G8" s="33" t="n">
        <f aca="false">IFERROR(D8/C8,0)</f>
        <v>0.337451585742352</v>
      </c>
      <c r="H8" s="32" t="n">
        <f aca="false">H7+F8</f>
        <v>19796.39</v>
      </c>
      <c r="I8" s="34"/>
      <c r="J8" s="32" t="n">
        <f aca="false">SUMIF('Stock Purchases'!$I$5:$I$500,A8,'Stock Purchases'!$F$5:$F$500)</f>
        <v>174769</v>
      </c>
      <c r="K8" s="35" t="n">
        <f aca="false">IF($B8="Actual",F8,"")</f>
        <v>5776.09</v>
      </c>
      <c r="L8" s="35" t="str">
        <f aca="false">IF(OR($B8="Projected",AND($B8="Actual",B9="Projected")),F8,"")</f>
        <v/>
      </c>
      <c r="M8" s="35" t="n">
        <f aca="false">IF($B8="Actual",C8,"")</f>
        <v>110453</v>
      </c>
      <c r="N8" s="35" t="str">
        <f aca="false">IF(OR($B8="Projected",AND($B8="Actual",B9="Projected")),C8,"")</f>
        <v/>
      </c>
    </row>
    <row r="9" customFormat="false" ht="15" hidden="false" customHeight="false" outlineLevel="0" collapsed="false">
      <c r="A9" s="30" t="s">
        <v>78</v>
      </c>
      <c r="B9" s="31" t="str">
        <f aca="false">IF('August 2026'!$F$38&gt;0,"Actual","Projected")</f>
        <v>Actual</v>
      </c>
      <c r="C9" s="32" t="n">
        <f aca="false">'August 2026'!F38</f>
        <v>132150</v>
      </c>
      <c r="D9" s="32" t="n">
        <f aca="false">'August 2026'!G38</f>
        <v>44816.26</v>
      </c>
      <c r="E9" s="32" t="n">
        <f aca="false">'August 2026'!M38</f>
        <v>28434.16</v>
      </c>
      <c r="F9" s="32" t="n">
        <f aca="false">D9-E9</f>
        <v>16382.1</v>
      </c>
      <c r="G9" s="33" t="n">
        <f aca="false">IFERROR(D9/C9,0)</f>
        <v>0.339131744230042</v>
      </c>
      <c r="H9" s="32" t="n">
        <f aca="false">H8+F9</f>
        <v>36178.49</v>
      </c>
      <c r="I9" s="34"/>
      <c r="J9" s="32" t="n">
        <f aca="false">SUMIF('Stock Purchases'!$I$5:$I$500,A9,'Stock Purchases'!$F$5:$F$500)</f>
        <v>172585</v>
      </c>
      <c r="K9" s="35" t="n">
        <f aca="false">IF($B9="Actual",F9,"")</f>
        <v>16382.1</v>
      </c>
      <c r="L9" s="35" t="str">
        <f aca="false">IF(OR($B9="Projected",AND($B9="Actual",B10="Projected")),F9,"")</f>
        <v/>
      </c>
      <c r="M9" s="35" t="n">
        <f aca="false">IF($B9="Actual",C9,"")</f>
        <v>132150</v>
      </c>
      <c r="N9" s="35" t="str">
        <f aca="false">IF(OR($B9="Projected",AND($B9="Actual",B10="Projected")),C9,"")</f>
        <v/>
      </c>
    </row>
    <row r="10" customFormat="false" ht="15" hidden="false" customHeight="false" outlineLevel="0" collapsed="false">
      <c r="A10" s="30" t="s">
        <v>79</v>
      </c>
      <c r="B10" s="31" t="str">
        <f aca="false">IF('September 2026'!$F$38&gt;0,"Actual","Projected")</f>
        <v>Actual</v>
      </c>
      <c r="C10" s="32" t="n">
        <f aca="false">'September 2026'!F38</f>
        <v>94307</v>
      </c>
      <c r="D10" s="32" t="n">
        <f aca="false">'September 2026'!G38</f>
        <v>31788.16</v>
      </c>
      <c r="E10" s="32" t="n">
        <f aca="false">'September 2026'!M38</f>
        <v>31459.54</v>
      </c>
      <c r="F10" s="32" t="n">
        <f aca="false">D10-E10</f>
        <v>328.620000000003</v>
      </c>
      <c r="G10" s="33" t="n">
        <f aca="false">IFERROR(D10/C10,0)</f>
        <v>0.337071055170878</v>
      </c>
      <c r="H10" s="32" t="n">
        <f aca="false">H9+F10</f>
        <v>36507.11</v>
      </c>
      <c r="I10" s="34"/>
      <c r="J10" s="32" t="n">
        <f aca="false">SUMIF('Stock Purchases'!$I$5:$I$500,A10,'Stock Purchases'!$F$5:$F$500)</f>
        <v>84779</v>
      </c>
      <c r="K10" s="35" t="n">
        <f aca="false">IF($B10="Actual",F10,"")</f>
        <v>328.620000000003</v>
      </c>
      <c r="L10" s="35" t="str">
        <f aca="false">IF(OR($B10="Projected",AND($B10="Actual",B11="Projected")),F10,"")</f>
        <v/>
      </c>
      <c r="M10" s="35" t="n">
        <f aca="false">IF($B10="Actual",C10,"")</f>
        <v>94307</v>
      </c>
      <c r="N10" s="35" t="str">
        <f aca="false">IF(OR($B10="Projected",AND($B10="Actual",B11="Projected")),C10,"")</f>
        <v/>
      </c>
    </row>
    <row r="11" customFormat="false" ht="15" hidden="false" customHeight="false" outlineLevel="0" collapsed="false">
      <c r="A11" s="30" t="s">
        <v>80</v>
      </c>
      <c r="B11" s="31" t="str">
        <f aca="false">IF('October 2026'!$F$38&gt;0,"Actual","Projected")</f>
        <v>Actual</v>
      </c>
      <c r="C11" s="32" t="n">
        <f aca="false">IF('October 2026'!$F$38&gt;0,'October 2026'!F38,AVERAGE(C8:C10))</f>
        <v>101223</v>
      </c>
      <c r="D11" s="32" t="n">
        <f aca="false">IF('October 2026'!$F$38&gt;0,'October 2026'!G38,AVERAGE(D8:D10))</f>
        <v>34165.3</v>
      </c>
      <c r="E11" s="32" t="n">
        <f aca="false">IF('October 2026'!$F$38&gt;0,'October 2026'!M38,AVERAGE(E8:E10))</f>
        <v>30286.24</v>
      </c>
      <c r="F11" s="32" t="n">
        <f aca="false">D11-E11</f>
        <v>3879.06</v>
      </c>
      <c r="G11" s="33" t="n">
        <f aca="false">IFERROR(D11/C11,0)</f>
        <v>0.337525068413305</v>
      </c>
      <c r="H11" s="32" t="n">
        <f aca="false">H10+F11</f>
        <v>40386.17</v>
      </c>
      <c r="I11" s="34" t="str">
        <f aca="false">IF('October 2026'!$F$38&gt;0,"","3-month trailing average of the prior 3 months")</f>
        <v/>
      </c>
      <c r="J11" s="32" t="n">
        <f aca="false">SUMIF('Stock Purchases'!$I$5:$I$500,A11,'Stock Purchases'!$F$5:$F$500)</f>
        <v>180495</v>
      </c>
      <c r="K11" s="35" t="n">
        <f aca="false">IF($B11="Actual",F11,"")</f>
        <v>3879.06</v>
      </c>
      <c r="L11" s="35" t="str">
        <f aca="false">IF(OR($B11="Projected",AND($B11="Actual",B12="Projected")),F11,"")</f>
        <v/>
      </c>
      <c r="M11" s="35" t="n">
        <f aca="false">IF($B11="Actual",C11,"")</f>
        <v>101223</v>
      </c>
      <c r="N11" s="35" t="str">
        <f aca="false">IF(OR($B11="Projected",AND($B11="Actual",B12="Projected")),C11,"")</f>
        <v/>
      </c>
    </row>
    <row r="12" customFormat="false" ht="15" hidden="false" customHeight="false" outlineLevel="0" collapsed="false">
      <c r="A12" s="30" t="s">
        <v>81</v>
      </c>
      <c r="B12" s="31" t="str">
        <f aca="false">IF('November 2026'!$F$38&gt;0,"Actual","Projected")</f>
        <v>Actual</v>
      </c>
      <c r="C12" s="32" t="n">
        <f aca="false">IF('November 2026'!$F$38&gt;0,'November 2026'!F38,AVERAGE(C9:C11))</f>
        <v>118372</v>
      </c>
      <c r="D12" s="32" t="n">
        <f aca="false">IF('November 2026'!$F$38&gt;0,'November 2026'!G38,AVERAGE(D9:D11))</f>
        <v>40816.18</v>
      </c>
      <c r="E12" s="32" t="n">
        <f aca="false">IF('November 2026'!$F$38&gt;0,'November 2026'!M38,AVERAGE(E9:E11))</f>
        <v>27845.48</v>
      </c>
      <c r="F12" s="32" t="n">
        <f aca="false">D12-E12</f>
        <v>12970.7</v>
      </c>
      <c r="G12" s="33" t="n">
        <f aca="false">IFERROR(D12/C12,0)</f>
        <v>0.344812793566046</v>
      </c>
      <c r="H12" s="32" t="n">
        <f aca="false">H11+F12</f>
        <v>53356.87</v>
      </c>
      <c r="I12" s="34" t="str">
        <f aca="false">IF('November 2026'!$F$38&gt;0,"","3-month trailing average of the prior 3 months")</f>
        <v/>
      </c>
      <c r="J12" s="32" t="n">
        <f aca="false">SUMIF('Stock Purchases'!$I$5:$I$500,A12,'Stock Purchases'!$F$5:$F$500)</f>
        <v>85615</v>
      </c>
      <c r="K12" s="35" t="n">
        <f aca="false">IF($B12="Actual",F12,"")</f>
        <v>12970.7</v>
      </c>
      <c r="L12" s="35" t="str">
        <f aca="false">IF(OR($B12="Projected",AND($B12="Actual",B13="Projected")),F12,"")</f>
        <v/>
      </c>
      <c r="M12" s="35" t="n">
        <f aca="false">IF($B12="Actual",C12,"")</f>
        <v>118372</v>
      </c>
      <c r="N12" s="35" t="str">
        <f aca="false">IF(OR($B12="Projected",AND($B12="Actual",B13="Projected")),C12,"")</f>
        <v/>
      </c>
    </row>
    <row r="13" customFormat="false" ht="15" hidden="false" customHeight="false" outlineLevel="0" collapsed="false">
      <c r="A13" s="30" t="s">
        <v>82</v>
      </c>
      <c r="B13" s="31" t="str">
        <f aca="false">IF('December 2026'!$F$38&gt;0,"Actual","Projected")</f>
        <v>Actual</v>
      </c>
      <c r="C13" s="32" t="n">
        <f aca="false">IF('December 2026'!$F$38&gt;0,'December 2026'!F38,AVERAGE(C10:C12))</f>
        <v>142075</v>
      </c>
      <c r="D13" s="32" t="n">
        <f aca="false">IF('December 2026'!$F$38&gt;0,'December 2026'!G38,AVERAGE(D10:D12))</f>
        <v>49396.4</v>
      </c>
      <c r="E13" s="32" t="n">
        <f aca="false">IF('December 2026'!$F$38&gt;0,'December 2026'!M38,AVERAGE(E10:E12))</f>
        <v>28497.31</v>
      </c>
      <c r="F13" s="32" t="n">
        <f aca="false">D13-E13</f>
        <v>20899.09</v>
      </c>
      <c r="G13" s="33" t="n">
        <f aca="false">IFERROR(D13/C13,0)</f>
        <v>0.347678338905508</v>
      </c>
      <c r="H13" s="32" t="n">
        <f aca="false">H12+F13</f>
        <v>74255.96</v>
      </c>
      <c r="I13" s="34" t="str">
        <f aca="false">IF('December 2026'!$F$38&gt;0,"","3-month trailing average of the prior 3 months")</f>
        <v/>
      </c>
      <c r="J13" s="32" t="n">
        <f aca="false">SUMIF('Stock Purchases'!$I$5:$I$500,A13,'Stock Purchases'!$F$5:$F$500)</f>
        <v>110009</v>
      </c>
      <c r="K13" s="35" t="n">
        <f aca="false">IF($B13="Actual",F13,"")</f>
        <v>20899.09</v>
      </c>
      <c r="L13" s="35" t="str">
        <f aca="false">IF(OR($B13="Projected",AND($B13="Actual",B14="Projected")),F13,"")</f>
        <v/>
      </c>
      <c r="M13" s="35" t="n">
        <f aca="false">IF($B13="Actual",C13,"")</f>
        <v>142075</v>
      </c>
      <c r="N13" s="35" t="str">
        <f aca="false">IF(OR($B13="Projected",AND($B13="Actual",B14="Projected")),C13,"")</f>
        <v/>
      </c>
    </row>
    <row r="14" customFormat="false" ht="15" hidden="false" customHeight="false" outlineLevel="0" collapsed="false">
      <c r="A14" s="30" t="s">
        <v>83</v>
      </c>
      <c r="B14" s="31" t="str">
        <f aca="false">IF('January 2027'!$F$38&gt;0,"Actual","Projected")</f>
        <v>Actual</v>
      </c>
      <c r="C14" s="32" t="n">
        <f aca="false">IF('January 2027'!$F$38&gt;0,'January 2027'!F38,AVERAGE(C11:C13))</f>
        <v>91879</v>
      </c>
      <c r="D14" s="32" t="n">
        <f aca="false">IF('January 2027'!$F$38&gt;0,'January 2027'!G38,AVERAGE(D11:D13))</f>
        <v>31072.21</v>
      </c>
      <c r="E14" s="32" t="n">
        <f aca="false">IF('January 2027'!$F$38&gt;0,'January 2027'!M38,AVERAGE(E11:E13))</f>
        <v>31955.58</v>
      </c>
      <c r="F14" s="32" t="n">
        <f aca="false">D14-E14</f>
        <v>-883.369999999995</v>
      </c>
      <c r="G14" s="33" t="n">
        <f aca="false">IFERROR(D14/C14,0)</f>
        <v>0.338186201417081</v>
      </c>
      <c r="H14" s="32" t="n">
        <f aca="false">H13+F14</f>
        <v>73372.59</v>
      </c>
      <c r="I14" s="34" t="str">
        <f aca="false">IF('January 2027'!$F$38&gt;0,"","3-month trailing average of the prior 3 months")</f>
        <v/>
      </c>
      <c r="J14" s="32" t="n">
        <f aca="false">SUMIF('Stock Purchases'!$I$5:$I$500,A14,'Stock Purchases'!$F$5:$F$500)</f>
        <v>240669</v>
      </c>
      <c r="K14" s="35" t="n">
        <f aca="false">IF($B14="Actual",F14,"")</f>
        <v>-883.369999999995</v>
      </c>
      <c r="L14" s="35" t="str">
        <f aca="false">IF(OR($B14="Projected",AND($B14="Actual",B15="Projected")),F14,"")</f>
        <v/>
      </c>
      <c r="M14" s="35" t="n">
        <f aca="false">IF($B14="Actual",C14,"")</f>
        <v>91879</v>
      </c>
      <c r="N14" s="35" t="str">
        <f aca="false">IF(OR($B14="Projected",AND($B14="Actual",B15="Projected")),C14,"")</f>
        <v/>
      </c>
    </row>
    <row r="15" customFormat="false" ht="15" hidden="false" customHeight="false" outlineLevel="0" collapsed="false">
      <c r="A15" s="30" t="s">
        <v>84</v>
      </c>
      <c r="B15" s="31" t="str">
        <f aca="false">IF('February 2027'!$F$38&gt;0,"Actual","Projected")</f>
        <v>Actual</v>
      </c>
      <c r="C15" s="32" t="n">
        <f aca="false">IF('February 2027'!$F$38&gt;0,'February 2027'!F38,AVERAGE(C12:C14))</f>
        <v>97894</v>
      </c>
      <c r="D15" s="32" t="n">
        <f aca="false">IF('February 2027'!$F$38&gt;0,'February 2027'!G38,AVERAGE(D12:D14))</f>
        <v>33569.33</v>
      </c>
      <c r="E15" s="32" t="n">
        <f aca="false">IF('February 2027'!$F$38&gt;0,'February 2027'!M38,AVERAGE(E12:E14))</f>
        <v>31380.58</v>
      </c>
      <c r="F15" s="32" t="n">
        <f aca="false">D15-E15</f>
        <v>2188.75</v>
      </c>
      <c r="G15" s="33" t="n">
        <f aca="false">IFERROR(D15/C15,0)</f>
        <v>0.342915091834025</v>
      </c>
      <c r="H15" s="32" t="n">
        <f aca="false">H14+F15</f>
        <v>75561.34</v>
      </c>
      <c r="I15" s="34" t="str">
        <f aca="false">IF('February 2027'!$F$38&gt;0,"","3-month trailing average of the prior 3 months")</f>
        <v/>
      </c>
      <c r="J15" s="32" t="n">
        <f aca="false">SUMIF('Stock Purchases'!$I$5:$I$500,A15,'Stock Purchases'!$F$5:$F$500)</f>
        <v>52507</v>
      </c>
      <c r="K15" s="35" t="n">
        <f aca="false">IF($B15="Actual",F15,"")</f>
        <v>2188.75</v>
      </c>
      <c r="L15" s="35" t="str">
        <f aca="false">IF(OR($B15="Projected",AND($B15="Actual",B16="Projected")),F15,"")</f>
        <v/>
      </c>
      <c r="M15" s="35" t="n">
        <f aca="false">IF($B15="Actual",C15,"")</f>
        <v>97894</v>
      </c>
      <c r="N15" s="35" t="str">
        <f aca="false">IF(OR($B15="Projected",AND($B15="Actual",B16="Projected")),C15,"")</f>
        <v/>
      </c>
    </row>
    <row r="16" customFormat="false" ht="15" hidden="false" customHeight="false" outlineLevel="0" collapsed="false">
      <c r="A16" s="30" t="s">
        <v>85</v>
      </c>
      <c r="B16" s="31" t="str">
        <f aca="false">IF('March 2027'!$F$38&gt;0,"Actual","Projected")</f>
        <v>Actual</v>
      </c>
      <c r="C16" s="32" t="n">
        <f aca="false">IF('March 2027'!$F$38&gt;0,'March 2027'!F38,266767)</f>
        <v>266767</v>
      </c>
      <c r="D16" s="32" t="n">
        <f aca="false">IF('March 2027'!$F$38&gt;0,'March 2027'!G38,90714.41)</f>
        <v>90714.41</v>
      </c>
      <c r="E16" s="32" t="n">
        <f aca="false">IF('March 2027'!$F$38&gt;0,'March 2027'!M38,46076.59)</f>
        <v>32385.34</v>
      </c>
      <c r="F16" s="32" t="n">
        <f aca="false">D16-E16</f>
        <v>58329.07</v>
      </c>
      <c r="G16" s="33" t="n">
        <f aca="false">IFERROR(D16/C16,0)</f>
        <v>0.340051093276155</v>
      </c>
      <c r="H16" s="32" t="n">
        <f aca="false">H15+F16</f>
        <v>133890.41</v>
      </c>
      <c r="I16" s="34" t="str">
        <f aca="false">IF('March 2027'!$F$38&gt;0,"","Seasonal reference: last year's Eid-ul-Fitr month")</f>
        <v/>
      </c>
      <c r="J16" s="32" t="n">
        <f aca="false">SUMIF('Stock Purchases'!$I$5:$I$500,A16,'Stock Purchases'!$F$5:$F$500)</f>
        <v>120029</v>
      </c>
      <c r="K16" s="35" t="n">
        <f aca="false">IF($B16="Actual",F16,"")</f>
        <v>58329.07</v>
      </c>
      <c r="L16" s="35" t="str">
        <f aca="false">IF($B16="Projected",F16,"")</f>
        <v/>
      </c>
      <c r="M16" s="35" t="n">
        <f aca="false">IF($B16="Actual",C16,"")</f>
        <v>266767</v>
      </c>
      <c r="N16" s="35" t="str">
        <f aca="false">IF($B16="Projected",C16,"")</f>
        <v/>
      </c>
    </row>
    <row r="18" customFormat="false" ht="15" hidden="false" customHeight="false" outlineLevel="0" collapsed="false">
      <c r="A18" s="27" t="s">
        <v>86</v>
      </c>
      <c r="B18" s="27"/>
      <c r="C18" s="36" t="n">
        <f aca="false">SUM(C5:C16)</f>
        <v>1466182</v>
      </c>
      <c r="D18" s="36" t="n">
        <f aca="false">SUM(D5:D16)</f>
        <v>498444.28</v>
      </c>
      <c r="E18" s="36" t="n">
        <f aca="false">SUM(E5:E16)</f>
        <v>364553.87</v>
      </c>
      <c r="F18" s="36" t="n">
        <f aca="false">SUM(F5:F16)</f>
        <v>133890.41</v>
      </c>
      <c r="G18" s="29" t="n">
        <f aca="false">IFERROR(D18/C18,0)</f>
        <v>0.339960714290586</v>
      </c>
      <c r="H18" s="36" t="n">
        <f aca="false">H16</f>
        <v>133890.41</v>
      </c>
      <c r="I18" s="27"/>
      <c r="J18" s="36" t="n">
        <f aca="false">SUM(J5:J16)</f>
        <v>1651895</v>
      </c>
    </row>
  </sheetData>
  <mergeCells count="2">
    <mergeCell ref="A1:I1"/>
    <mergeCell ref="A2:I2"/>
  </mergeCells>
  <conditionalFormatting sqref="A5:I5">
    <cfRule type="expression" priority="2" aboveAverage="0" equalAverage="0" bottom="0" percent="0" rank="0" text="" dxfId="2">
      <formula>$B5="Projected"</formula>
    </cfRule>
  </conditionalFormatting>
  <conditionalFormatting sqref="A6:I6">
    <cfRule type="expression" priority="3" aboveAverage="0" equalAverage="0" bottom="0" percent="0" rank="0" text="" dxfId="2">
      <formula>$B6="Projected"</formula>
    </cfRule>
  </conditionalFormatting>
  <conditionalFormatting sqref="A7:I7">
    <cfRule type="expression" priority="4" aboveAverage="0" equalAverage="0" bottom="0" percent="0" rank="0" text="" dxfId="2">
      <formula>$B7="Projected"</formula>
    </cfRule>
  </conditionalFormatting>
  <conditionalFormatting sqref="A8:I8">
    <cfRule type="expression" priority="5" aboveAverage="0" equalAverage="0" bottom="0" percent="0" rank="0" text="" dxfId="2">
      <formula>$B8="Projected"</formula>
    </cfRule>
  </conditionalFormatting>
  <conditionalFormatting sqref="A9:I9">
    <cfRule type="expression" priority="6" aboveAverage="0" equalAverage="0" bottom="0" percent="0" rank="0" text="" dxfId="2">
      <formula>$B9="Projected"</formula>
    </cfRule>
  </conditionalFormatting>
  <conditionalFormatting sqref="A10:I10">
    <cfRule type="expression" priority="7" aboveAverage="0" equalAverage="0" bottom="0" percent="0" rank="0" text="" dxfId="2">
      <formula>$B10="Projected"</formula>
    </cfRule>
  </conditionalFormatting>
  <conditionalFormatting sqref="A11:I11">
    <cfRule type="expression" priority="8" aboveAverage="0" equalAverage="0" bottom="0" percent="0" rank="0" text="" dxfId="2">
      <formula>$B11="Projected"</formula>
    </cfRule>
  </conditionalFormatting>
  <conditionalFormatting sqref="A12:I12">
    <cfRule type="expression" priority="9" aboveAverage="0" equalAverage="0" bottom="0" percent="0" rank="0" text="" dxfId="2">
      <formula>$B12="Projected"</formula>
    </cfRule>
  </conditionalFormatting>
  <conditionalFormatting sqref="A13:I13">
    <cfRule type="expression" priority="10" aboveAverage="0" equalAverage="0" bottom="0" percent="0" rank="0" text="" dxfId="2">
      <formula>$B13="Projected"</formula>
    </cfRule>
  </conditionalFormatting>
  <conditionalFormatting sqref="A14:I14">
    <cfRule type="expression" priority="11" aboveAverage="0" equalAverage="0" bottom="0" percent="0" rank="0" text="" dxfId="2">
      <formula>$B14="Projected"</formula>
    </cfRule>
  </conditionalFormatting>
  <conditionalFormatting sqref="A15:I15">
    <cfRule type="expression" priority="12" aboveAverage="0" equalAverage="0" bottom="0" percent="0" rank="0" text="" dxfId="2">
      <formula>$B15="Projected"</formula>
    </cfRule>
  </conditionalFormatting>
  <conditionalFormatting sqref="A16:I16">
    <cfRule type="expression" priority="13" aboveAverage="0" equalAverage="0" bottom="0" percent="0" rank="0" text="" dxfId="2">
      <formula>$B16="Projected"</formula>
    </cfRule>
  </conditionalFormatting>
  <conditionalFormatting sqref="F5:F18">
    <cfRule type="cellIs" priority="14" operator="lessThan" aboveAverage="0" equalAverage="0" bottom="0" percent="0" rank="0" text="" dxfId="0">
      <formula>0</formula>
    </cfRule>
    <cfRule type="cellIs" priority="15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8" t="s">
        <v>87</v>
      </c>
      <c r="B1" s="8"/>
      <c r="C1" s="8"/>
      <c r="D1" s="8"/>
      <c r="E1" s="8"/>
      <c r="F1" s="8"/>
      <c r="G1" s="8"/>
      <c r="H1" s="8"/>
      <c r="I1" s="8"/>
    </row>
    <row r="2" customFormat="false" ht="15.75" hidden="false" customHeight="true" outlineLevel="0" collapsed="false">
      <c r="A2" s="15" t="s">
        <v>88</v>
      </c>
      <c r="B2" s="15"/>
      <c r="C2" s="15"/>
      <c r="D2" s="15"/>
      <c r="E2" s="15"/>
      <c r="F2" s="15"/>
      <c r="G2" s="15"/>
      <c r="H2" s="15"/>
      <c r="I2" s="15"/>
    </row>
    <row r="4" customFormat="false" ht="15" hidden="false" customHeight="false" outlineLevel="0" collapsed="false">
      <c r="A4" s="16" t="s">
        <v>34</v>
      </c>
      <c r="B4" s="16" t="s">
        <v>89</v>
      </c>
      <c r="C4" s="16" t="s">
        <v>90</v>
      </c>
      <c r="D4" s="16" t="s">
        <v>91</v>
      </c>
      <c r="E4" s="16" t="s">
        <v>92</v>
      </c>
      <c r="F4" s="16" t="s">
        <v>93</v>
      </c>
      <c r="G4" s="16" t="s">
        <v>94</v>
      </c>
      <c r="H4" s="16" t="s">
        <v>49</v>
      </c>
      <c r="I4" s="16" t="s">
        <v>65</v>
      </c>
    </row>
    <row r="5" customFormat="false" ht="15" hidden="false" customHeight="false" outlineLevel="0" collapsed="false">
      <c r="A5" s="37" t="n">
        <v>46115</v>
      </c>
      <c r="B5" s="38" t="s">
        <v>95</v>
      </c>
      <c r="C5" s="38" t="n">
        <v>29</v>
      </c>
      <c r="D5" s="38" t="s">
        <v>96</v>
      </c>
      <c r="E5" s="38" t="s">
        <v>97</v>
      </c>
      <c r="F5" s="18" t="n">
        <v>43834</v>
      </c>
      <c r="G5" s="38" t="s">
        <v>98</v>
      </c>
      <c r="H5" s="38"/>
      <c r="I5" s="38" t="str">
        <f aca="false">TEXT(A5,"MMMM YYYY")</f>
        <v>April 2026</v>
      </c>
    </row>
    <row r="6" customFormat="false" ht="15" hidden="false" customHeight="false" outlineLevel="0" collapsed="false">
      <c r="A6" s="39" t="n">
        <v>46146</v>
      </c>
      <c r="B6" s="40" t="s">
        <v>99</v>
      </c>
      <c r="C6" s="40" t="n">
        <v>10</v>
      </c>
      <c r="D6" s="40" t="s">
        <v>100</v>
      </c>
      <c r="E6" s="40" t="s">
        <v>97</v>
      </c>
      <c r="F6" s="23" t="n">
        <v>61158</v>
      </c>
      <c r="G6" s="40" t="s">
        <v>101</v>
      </c>
      <c r="H6" s="40"/>
      <c r="I6" s="40" t="str">
        <f aca="false">TEXT(A6,"MMMM YYYY")</f>
        <v>May 2026</v>
      </c>
    </row>
    <row r="7" customFormat="false" ht="15" hidden="false" customHeight="false" outlineLevel="0" collapsed="false">
      <c r="A7" s="37" t="n">
        <v>46154</v>
      </c>
      <c r="B7" s="38" t="s">
        <v>102</v>
      </c>
      <c r="C7" s="38" t="n">
        <v>12</v>
      </c>
      <c r="D7" s="38" t="s">
        <v>103</v>
      </c>
      <c r="E7" s="38" t="s">
        <v>104</v>
      </c>
      <c r="F7" s="18" t="n">
        <v>121511</v>
      </c>
      <c r="G7" s="38" t="s">
        <v>98</v>
      </c>
      <c r="H7" s="38"/>
      <c r="I7" s="38" t="str">
        <f aca="false">TEXT(A7,"MMMM YYYY")</f>
        <v>May 2026</v>
      </c>
    </row>
    <row r="8" customFormat="false" ht="15" hidden="false" customHeight="false" outlineLevel="0" collapsed="false">
      <c r="A8" s="39" t="n">
        <v>46191</v>
      </c>
      <c r="B8" s="40" t="s">
        <v>105</v>
      </c>
      <c r="C8" s="40" t="n">
        <v>18</v>
      </c>
      <c r="D8" s="40" t="s">
        <v>96</v>
      </c>
      <c r="E8" s="40" t="s">
        <v>104</v>
      </c>
      <c r="F8" s="23" t="n">
        <v>119246</v>
      </c>
      <c r="G8" s="40" t="s">
        <v>101</v>
      </c>
      <c r="H8" s="40"/>
      <c r="I8" s="40" t="str">
        <f aca="false">TEXT(A8,"MMMM YYYY")</f>
        <v>June 2026</v>
      </c>
    </row>
    <row r="9" customFormat="false" ht="15" hidden="false" customHeight="false" outlineLevel="0" collapsed="false">
      <c r="A9" s="37" t="n">
        <v>46178</v>
      </c>
      <c r="B9" s="38" t="s">
        <v>99</v>
      </c>
      <c r="C9" s="38" t="n">
        <v>12</v>
      </c>
      <c r="D9" s="38" t="s">
        <v>96</v>
      </c>
      <c r="E9" s="38" t="s">
        <v>106</v>
      </c>
      <c r="F9" s="18" t="n">
        <v>84689</v>
      </c>
      <c r="G9" s="38" t="s">
        <v>101</v>
      </c>
      <c r="H9" s="38"/>
      <c r="I9" s="38" t="str">
        <f aca="false">TEXT(A9,"MMMM YYYY")</f>
        <v>June 2026</v>
      </c>
    </row>
    <row r="10" customFormat="false" ht="15" hidden="false" customHeight="false" outlineLevel="0" collapsed="false">
      <c r="A10" s="39" t="n">
        <v>46223</v>
      </c>
      <c r="B10" s="40" t="s">
        <v>105</v>
      </c>
      <c r="C10" s="40" t="n">
        <v>22</v>
      </c>
      <c r="D10" s="40" t="s">
        <v>96</v>
      </c>
      <c r="E10" s="40" t="s">
        <v>97</v>
      </c>
      <c r="F10" s="23" t="n">
        <v>116987</v>
      </c>
      <c r="G10" s="40" t="s">
        <v>98</v>
      </c>
      <c r="H10" s="40"/>
      <c r="I10" s="40" t="str">
        <f aca="false">TEXT(A10,"MMMM YYYY")</f>
        <v>July 2026</v>
      </c>
    </row>
    <row r="11" customFormat="false" ht="15" hidden="false" customHeight="false" outlineLevel="0" collapsed="false">
      <c r="A11" s="37" t="n">
        <v>46212</v>
      </c>
      <c r="B11" s="38" t="s">
        <v>95</v>
      </c>
      <c r="C11" s="38" t="n">
        <v>10</v>
      </c>
      <c r="D11" s="38" t="s">
        <v>103</v>
      </c>
      <c r="E11" s="38" t="s">
        <v>97</v>
      </c>
      <c r="F11" s="18" t="n">
        <v>57782</v>
      </c>
      <c r="G11" s="38" t="s">
        <v>98</v>
      </c>
      <c r="H11" s="38"/>
      <c r="I11" s="38" t="str">
        <f aca="false">TEXT(A11,"MMMM YYYY")</f>
        <v>July 2026</v>
      </c>
    </row>
    <row r="12" customFormat="false" ht="15" hidden="false" customHeight="false" outlineLevel="0" collapsed="false">
      <c r="A12" s="39" t="n">
        <v>46247</v>
      </c>
      <c r="B12" s="40" t="s">
        <v>102</v>
      </c>
      <c r="C12" s="40" t="n">
        <v>29</v>
      </c>
      <c r="D12" s="40" t="s">
        <v>100</v>
      </c>
      <c r="E12" s="40" t="s">
        <v>107</v>
      </c>
      <c r="F12" s="23" t="n">
        <v>39705</v>
      </c>
      <c r="G12" s="40" t="s">
        <v>98</v>
      </c>
      <c r="H12" s="40"/>
      <c r="I12" s="40" t="str">
        <f aca="false">TEXT(A12,"MMMM YYYY")</f>
        <v>August 2026</v>
      </c>
    </row>
    <row r="13" customFormat="false" ht="15" hidden="false" customHeight="false" outlineLevel="0" collapsed="false">
      <c r="A13" s="37" t="n">
        <v>46242</v>
      </c>
      <c r="B13" s="38" t="s">
        <v>95</v>
      </c>
      <c r="C13" s="38" t="n">
        <v>29</v>
      </c>
      <c r="D13" s="38" t="s">
        <v>108</v>
      </c>
      <c r="E13" s="38" t="s">
        <v>97</v>
      </c>
      <c r="F13" s="18" t="n">
        <v>132880</v>
      </c>
      <c r="G13" s="38" t="s">
        <v>98</v>
      </c>
      <c r="H13" s="38"/>
      <c r="I13" s="38" t="str">
        <f aca="false">TEXT(A13,"MMMM YYYY")</f>
        <v>August 2026</v>
      </c>
    </row>
    <row r="14" customFormat="false" ht="15" hidden="false" customHeight="false" outlineLevel="0" collapsed="false">
      <c r="A14" s="39" t="n">
        <v>46272</v>
      </c>
      <c r="B14" s="40" t="s">
        <v>109</v>
      </c>
      <c r="C14" s="40" t="n">
        <v>15</v>
      </c>
      <c r="D14" s="40" t="s">
        <v>103</v>
      </c>
      <c r="E14" s="40" t="s">
        <v>107</v>
      </c>
      <c r="F14" s="23" t="n">
        <v>35371</v>
      </c>
      <c r="G14" s="40" t="s">
        <v>101</v>
      </c>
      <c r="H14" s="40"/>
      <c r="I14" s="40" t="str">
        <f aca="false">TEXT(A14,"MMMM YYYY")</f>
        <v>September 2026</v>
      </c>
    </row>
    <row r="15" customFormat="false" ht="15" hidden="false" customHeight="false" outlineLevel="0" collapsed="false">
      <c r="A15" s="37" t="n">
        <v>46293</v>
      </c>
      <c r="B15" s="38" t="s">
        <v>109</v>
      </c>
      <c r="C15" s="38" t="n">
        <v>12</v>
      </c>
      <c r="D15" s="38" t="s">
        <v>108</v>
      </c>
      <c r="E15" s="38" t="s">
        <v>97</v>
      </c>
      <c r="F15" s="18" t="n">
        <v>49408</v>
      </c>
      <c r="G15" s="38" t="s">
        <v>98</v>
      </c>
      <c r="H15" s="38"/>
      <c r="I15" s="38" t="str">
        <f aca="false">TEXT(A15,"MMMM YYYY")</f>
        <v>September 2026</v>
      </c>
    </row>
    <row r="16" customFormat="false" ht="15" hidden="false" customHeight="false" outlineLevel="0" collapsed="false">
      <c r="A16" s="39" t="n">
        <v>46298</v>
      </c>
      <c r="B16" s="40" t="s">
        <v>99</v>
      </c>
      <c r="C16" s="40" t="n">
        <v>15</v>
      </c>
      <c r="D16" s="40" t="s">
        <v>108</v>
      </c>
      <c r="E16" s="40" t="s">
        <v>97</v>
      </c>
      <c r="F16" s="23" t="n">
        <v>78655</v>
      </c>
      <c r="G16" s="40" t="s">
        <v>98</v>
      </c>
      <c r="H16" s="40"/>
      <c r="I16" s="40" t="str">
        <f aca="false">TEXT(A16,"MMMM YYYY")</f>
        <v>October 2026</v>
      </c>
    </row>
    <row r="17" customFormat="false" ht="15" hidden="false" customHeight="false" outlineLevel="0" collapsed="false">
      <c r="A17" s="37" t="n">
        <v>46298</v>
      </c>
      <c r="B17" s="38" t="s">
        <v>110</v>
      </c>
      <c r="C17" s="38" t="n">
        <v>29</v>
      </c>
      <c r="D17" s="38" t="s">
        <v>96</v>
      </c>
      <c r="E17" s="38" t="s">
        <v>107</v>
      </c>
      <c r="F17" s="18" t="n">
        <v>101840</v>
      </c>
      <c r="G17" s="38" t="s">
        <v>98</v>
      </c>
      <c r="H17" s="38"/>
      <c r="I17" s="38" t="str">
        <f aca="false">TEXT(A17,"MMMM YYYY")</f>
        <v>October 2026</v>
      </c>
    </row>
    <row r="18" customFormat="false" ht="15" hidden="false" customHeight="false" outlineLevel="0" collapsed="false">
      <c r="A18" s="39" t="n">
        <v>46340</v>
      </c>
      <c r="B18" s="40" t="s">
        <v>105</v>
      </c>
      <c r="C18" s="40" t="n">
        <v>18</v>
      </c>
      <c r="D18" s="40" t="s">
        <v>108</v>
      </c>
      <c r="E18" s="40" t="s">
        <v>97</v>
      </c>
      <c r="F18" s="23" t="n">
        <v>85615</v>
      </c>
      <c r="G18" s="40" t="s">
        <v>98</v>
      </c>
      <c r="H18" s="40"/>
      <c r="I18" s="40" t="str">
        <f aca="false">TEXT(A18,"MMMM YYYY")</f>
        <v>November 2026</v>
      </c>
    </row>
    <row r="19" customFormat="false" ht="15" hidden="false" customHeight="false" outlineLevel="0" collapsed="false">
      <c r="A19" s="37" t="n">
        <v>46364</v>
      </c>
      <c r="B19" s="38" t="s">
        <v>99</v>
      </c>
      <c r="C19" s="38" t="n">
        <v>10</v>
      </c>
      <c r="D19" s="38" t="s">
        <v>108</v>
      </c>
      <c r="E19" s="38" t="s">
        <v>107</v>
      </c>
      <c r="F19" s="18" t="n">
        <v>110009</v>
      </c>
      <c r="G19" s="38" t="s">
        <v>101</v>
      </c>
      <c r="H19" s="38"/>
      <c r="I19" s="38" t="str">
        <f aca="false">TEXT(A19,"MMMM YYYY")</f>
        <v>December 2026</v>
      </c>
    </row>
    <row r="20" customFormat="false" ht="15" hidden="false" customHeight="false" outlineLevel="0" collapsed="false">
      <c r="A20" s="39" t="n">
        <v>46406</v>
      </c>
      <c r="B20" s="40" t="s">
        <v>109</v>
      </c>
      <c r="C20" s="40" t="n">
        <v>29</v>
      </c>
      <c r="D20" s="40" t="s">
        <v>96</v>
      </c>
      <c r="E20" s="40" t="s">
        <v>107</v>
      </c>
      <c r="F20" s="23" t="n">
        <v>97973</v>
      </c>
      <c r="G20" s="40" t="s">
        <v>98</v>
      </c>
      <c r="H20" s="40"/>
      <c r="I20" s="40" t="str">
        <f aca="false">TEXT(A20,"MMMM YYYY")</f>
        <v>January 2027</v>
      </c>
    </row>
    <row r="21" customFormat="false" ht="15" hidden="false" customHeight="false" outlineLevel="0" collapsed="false">
      <c r="A21" s="37" t="n">
        <v>46404</v>
      </c>
      <c r="B21" s="38" t="s">
        <v>95</v>
      </c>
      <c r="C21" s="38" t="n">
        <v>29</v>
      </c>
      <c r="D21" s="38" t="s">
        <v>100</v>
      </c>
      <c r="E21" s="38" t="s">
        <v>97</v>
      </c>
      <c r="F21" s="18" t="n">
        <v>142696</v>
      </c>
      <c r="G21" s="38" t="s">
        <v>98</v>
      </c>
      <c r="H21" s="38"/>
      <c r="I21" s="38" t="str">
        <f aca="false">TEXT(A21,"MMMM YYYY")</f>
        <v>January 2027</v>
      </c>
    </row>
    <row r="22" customFormat="false" ht="15" hidden="false" customHeight="false" outlineLevel="0" collapsed="false">
      <c r="A22" s="39" t="n">
        <v>46439</v>
      </c>
      <c r="B22" s="40" t="s">
        <v>102</v>
      </c>
      <c r="C22" s="40" t="n">
        <v>15</v>
      </c>
      <c r="D22" s="40" t="s">
        <v>103</v>
      </c>
      <c r="E22" s="40" t="s">
        <v>97</v>
      </c>
      <c r="F22" s="23" t="n">
        <v>52507</v>
      </c>
      <c r="G22" s="40" t="s">
        <v>101</v>
      </c>
      <c r="H22" s="40"/>
      <c r="I22" s="40" t="str">
        <f aca="false">TEXT(A22,"MMMM YYYY")</f>
        <v>February 2027</v>
      </c>
    </row>
    <row r="23" customFormat="false" ht="15" hidden="false" customHeight="false" outlineLevel="0" collapsed="false">
      <c r="A23" s="37" t="n">
        <v>46471</v>
      </c>
      <c r="B23" s="38" t="s">
        <v>102</v>
      </c>
      <c r="C23" s="38" t="n">
        <v>18</v>
      </c>
      <c r="D23" s="38" t="s">
        <v>100</v>
      </c>
      <c r="E23" s="38" t="s">
        <v>107</v>
      </c>
      <c r="F23" s="18" t="n">
        <v>120029</v>
      </c>
      <c r="G23" s="38" t="s">
        <v>101</v>
      </c>
      <c r="H23" s="38"/>
      <c r="I23" s="38" t="str">
        <f aca="false">TEXT(A23,"MMMM YYYY")</f>
        <v>March 2027</v>
      </c>
    </row>
    <row r="24" customFormat="false" ht="15" hidden="false" customHeight="false" outlineLevel="0" collapsed="false">
      <c r="A24" s="41"/>
      <c r="B24" s="41"/>
      <c r="C24" s="41"/>
      <c r="D24" s="41"/>
      <c r="E24" s="41"/>
      <c r="F24" s="42"/>
      <c r="G24" s="41"/>
      <c r="H24" s="41"/>
      <c r="I24" s="40" t="str">
        <f aca="false">IF(A24="","",TEXT(A24,"MMMM YYYY"))</f>
        <v/>
      </c>
    </row>
    <row r="25" customFormat="false" ht="15" hidden="false" customHeight="false" outlineLevel="0" collapsed="false">
      <c r="A25" s="41"/>
      <c r="B25" s="41"/>
      <c r="C25" s="41"/>
      <c r="D25" s="41"/>
      <c r="E25" s="41"/>
      <c r="F25" s="42"/>
      <c r="G25" s="41"/>
      <c r="H25" s="41"/>
      <c r="I25" s="38" t="str">
        <f aca="false">IF(A25="","",TEXT(A25,"MMMM YYYY"))</f>
        <v/>
      </c>
    </row>
    <row r="26" customFormat="false" ht="15" hidden="false" customHeight="false" outlineLevel="0" collapsed="false">
      <c r="A26" s="41"/>
      <c r="B26" s="41"/>
      <c r="C26" s="41"/>
      <c r="D26" s="41"/>
      <c r="E26" s="41"/>
      <c r="F26" s="42"/>
      <c r="G26" s="41"/>
      <c r="H26" s="41"/>
      <c r="I26" s="40" t="str">
        <f aca="false">IF(A26="","",TEXT(A26,"MMMM YYYY"))</f>
        <v/>
      </c>
    </row>
    <row r="27" customFormat="false" ht="15" hidden="false" customHeight="false" outlineLevel="0" collapsed="false">
      <c r="A27" s="41"/>
      <c r="B27" s="41"/>
      <c r="C27" s="41"/>
      <c r="D27" s="41"/>
      <c r="E27" s="41"/>
      <c r="F27" s="42"/>
      <c r="G27" s="41"/>
      <c r="H27" s="41"/>
      <c r="I27" s="38" t="str">
        <f aca="false">IF(A27="","",TEXT(A27,"MMMM YYYY"))</f>
        <v/>
      </c>
    </row>
    <row r="28" customFormat="false" ht="15" hidden="false" customHeight="false" outlineLevel="0" collapsed="false">
      <c r="A28" s="41"/>
      <c r="B28" s="41"/>
      <c r="C28" s="41"/>
      <c r="D28" s="41"/>
      <c r="E28" s="41"/>
      <c r="F28" s="42"/>
      <c r="G28" s="41"/>
      <c r="H28" s="41"/>
      <c r="I28" s="40" t="str">
        <f aca="false">IF(A28="","",TEXT(A28,"MMMM YYYY"))</f>
        <v/>
      </c>
    </row>
    <row r="29" customFormat="false" ht="15" hidden="false" customHeight="false" outlineLevel="0" collapsed="false">
      <c r="A29" s="41"/>
      <c r="B29" s="41"/>
      <c r="C29" s="41"/>
      <c r="D29" s="41"/>
      <c r="E29" s="41"/>
      <c r="F29" s="42"/>
      <c r="G29" s="41"/>
      <c r="H29" s="41"/>
      <c r="I29" s="38" t="str">
        <f aca="false">IF(A29="","",TEXT(A29,"MMMM YYYY"))</f>
        <v/>
      </c>
    </row>
    <row r="30" customFormat="false" ht="15" hidden="false" customHeight="false" outlineLevel="0" collapsed="false">
      <c r="A30" s="41"/>
      <c r="B30" s="41"/>
      <c r="C30" s="41"/>
      <c r="D30" s="41"/>
      <c r="E30" s="41"/>
      <c r="F30" s="42"/>
      <c r="G30" s="41"/>
      <c r="H30" s="41"/>
      <c r="I30" s="40" t="str">
        <f aca="false">IF(A30="","",TEXT(A30,"MMMM YYYY"))</f>
        <v/>
      </c>
    </row>
    <row r="31" customFormat="false" ht="15" hidden="false" customHeight="false" outlineLevel="0" collapsed="false">
      <c r="A31" s="41"/>
      <c r="B31" s="41"/>
      <c r="C31" s="41"/>
      <c r="D31" s="41"/>
      <c r="E31" s="41"/>
      <c r="F31" s="42"/>
      <c r="G31" s="41"/>
      <c r="H31" s="41"/>
      <c r="I31" s="38" t="str">
        <f aca="false">IF(A31="","",TEXT(A31,"MMMM YYYY"))</f>
        <v/>
      </c>
    </row>
    <row r="32" customFormat="false" ht="15" hidden="false" customHeight="false" outlineLevel="0" collapsed="false">
      <c r="A32" s="41"/>
      <c r="B32" s="41"/>
      <c r="C32" s="41"/>
      <c r="D32" s="41"/>
      <c r="E32" s="41"/>
      <c r="F32" s="42"/>
      <c r="G32" s="41"/>
      <c r="H32" s="41"/>
      <c r="I32" s="40" t="str">
        <f aca="false">IF(A32="","",TEXT(A32,"MMMM YYYY"))</f>
        <v/>
      </c>
    </row>
    <row r="33" customFormat="false" ht="15" hidden="false" customHeight="false" outlineLevel="0" collapsed="false">
      <c r="A33" s="41"/>
      <c r="B33" s="41"/>
      <c r="C33" s="41"/>
      <c r="D33" s="41"/>
      <c r="E33" s="41"/>
      <c r="F33" s="42"/>
      <c r="G33" s="41"/>
      <c r="H33" s="41"/>
      <c r="I33" s="38" t="str">
        <f aca="false">IF(A33="","",TEXT(A33,"MMMM YYYY"))</f>
        <v/>
      </c>
    </row>
    <row r="34" customFormat="false" ht="15" hidden="false" customHeight="false" outlineLevel="0" collapsed="false">
      <c r="A34" s="41"/>
      <c r="B34" s="41"/>
      <c r="C34" s="41"/>
      <c r="D34" s="41"/>
      <c r="E34" s="41"/>
      <c r="F34" s="42"/>
      <c r="G34" s="41"/>
      <c r="H34" s="41"/>
      <c r="I34" s="40" t="str">
        <f aca="false">IF(A34="","",TEXT(A34,"MMMM YYYY"))</f>
        <v/>
      </c>
    </row>
    <row r="35" customFormat="false" ht="15" hidden="false" customHeight="false" outlineLevel="0" collapsed="false">
      <c r="A35" s="41"/>
      <c r="B35" s="41"/>
      <c r="C35" s="41"/>
      <c r="D35" s="41"/>
      <c r="E35" s="41"/>
      <c r="F35" s="42"/>
      <c r="G35" s="41"/>
      <c r="H35" s="41"/>
      <c r="I35" s="38" t="str">
        <f aca="false">IF(A35="","",TEXT(A35,"MMMM YYYY"))</f>
        <v/>
      </c>
    </row>
    <row r="36" customFormat="false" ht="15" hidden="false" customHeight="false" outlineLevel="0" collapsed="false">
      <c r="A36" s="41"/>
      <c r="B36" s="41"/>
      <c r="C36" s="41"/>
      <c r="D36" s="41"/>
      <c r="E36" s="41"/>
      <c r="F36" s="42"/>
      <c r="G36" s="41"/>
      <c r="H36" s="41"/>
      <c r="I36" s="40" t="str">
        <f aca="false">IF(A36="","",TEXT(A36,"MMMM YYYY"))</f>
        <v/>
      </c>
    </row>
    <row r="37" customFormat="false" ht="15" hidden="false" customHeight="false" outlineLevel="0" collapsed="false">
      <c r="A37" s="41"/>
      <c r="B37" s="41"/>
      <c r="C37" s="41"/>
      <c r="D37" s="41"/>
      <c r="E37" s="41"/>
      <c r="F37" s="42"/>
      <c r="G37" s="41"/>
      <c r="H37" s="41"/>
      <c r="I37" s="38" t="str">
        <f aca="false">IF(A37="","",TEXT(A37,"MMMM YYYY"))</f>
        <v/>
      </c>
    </row>
    <row r="38" customFormat="false" ht="15" hidden="false" customHeight="false" outlineLevel="0" collapsed="false">
      <c r="A38" s="41"/>
      <c r="B38" s="41"/>
      <c r="C38" s="41"/>
      <c r="D38" s="41"/>
      <c r="E38" s="41"/>
      <c r="F38" s="42"/>
      <c r="G38" s="41"/>
      <c r="H38" s="41"/>
      <c r="I38" s="40" t="str">
        <f aca="false">IF(A38="","",TEXT(A38,"MMMM YYYY"))</f>
        <v/>
      </c>
    </row>
    <row r="39" customFormat="false" ht="15" hidden="false" customHeight="false" outlineLevel="0" collapsed="false">
      <c r="A39" s="41"/>
      <c r="B39" s="41"/>
      <c r="C39" s="41"/>
      <c r="D39" s="41"/>
      <c r="E39" s="41"/>
      <c r="F39" s="42"/>
      <c r="G39" s="41"/>
      <c r="H39" s="41"/>
      <c r="I39" s="38" t="str">
        <f aca="false">IF(A39="","",TEXT(A39,"MMMM YYYY"))</f>
        <v/>
      </c>
    </row>
    <row r="40" customFormat="false" ht="15" hidden="false" customHeight="false" outlineLevel="0" collapsed="false">
      <c r="A40" s="41"/>
      <c r="B40" s="41"/>
      <c r="C40" s="41"/>
      <c r="D40" s="41"/>
      <c r="E40" s="41"/>
      <c r="F40" s="42"/>
      <c r="G40" s="41"/>
      <c r="H40" s="41"/>
      <c r="I40" s="40" t="str">
        <f aca="false">IF(A40="","",TEXT(A40,"MMMM YYYY"))</f>
        <v/>
      </c>
    </row>
    <row r="41" customFormat="false" ht="15" hidden="false" customHeight="false" outlineLevel="0" collapsed="false">
      <c r="A41" s="41"/>
      <c r="B41" s="41"/>
      <c r="C41" s="41"/>
      <c r="D41" s="41"/>
      <c r="E41" s="41"/>
      <c r="F41" s="42"/>
      <c r="G41" s="41"/>
      <c r="H41" s="41"/>
      <c r="I41" s="38" t="str">
        <f aca="false">IF(A41="","",TEXT(A41,"MMMM YYYY"))</f>
        <v/>
      </c>
    </row>
    <row r="42" customFormat="false" ht="15" hidden="false" customHeight="false" outlineLevel="0" collapsed="false">
      <c r="A42" s="41"/>
      <c r="B42" s="41"/>
      <c r="C42" s="41"/>
      <c r="D42" s="41"/>
      <c r="E42" s="41"/>
      <c r="F42" s="42"/>
      <c r="G42" s="41"/>
      <c r="H42" s="41"/>
      <c r="I42" s="40" t="str">
        <f aca="false">IF(A42="","",TEXT(A42,"MMMM YYYY"))</f>
        <v/>
      </c>
    </row>
    <row r="43" customFormat="false" ht="15" hidden="false" customHeight="false" outlineLevel="0" collapsed="false">
      <c r="A43" s="41"/>
      <c r="B43" s="41"/>
      <c r="C43" s="41"/>
      <c r="D43" s="41"/>
      <c r="E43" s="41"/>
      <c r="F43" s="42"/>
      <c r="G43" s="41"/>
      <c r="H43" s="41"/>
      <c r="I43" s="38" t="str">
        <f aca="false">IF(A43="","",TEXT(A43,"MMMM YYYY"))</f>
        <v/>
      </c>
    </row>
    <row r="44" customFormat="false" ht="15" hidden="false" customHeight="false" outlineLevel="0" collapsed="false">
      <c r="A44" s="41"/>
      <c r="B44" s="41"/>
      <c r="C44" s="41"/>
      <c r="D44" s="41"/>
      <c r="E44" s="41"/>
      <c r="F44" s="42"/>
      <c r="G44" s="41"/>
      <c r="H44" s="41"/>
      <c r="I44" s="40" t="str">
        <f aca="false">IF(A44="","",TEXT(A44,"MMMM YYYY"))</f>
        <v/>
      </c>
    </row>
    <row r="45" customFormat="false" ht="15" hidden="false" customHeight="false" outlineLevel="0" collapsed="false">
      <c r="A45" s="41"/>
      <c r="B45" s="41"/>
      <c r="C45" s="41"/>
      <c r="D45" s="41"/>
      <c r="E45" s="41"/>
      <c r="F45" s="42"/>
      <c r="G45" s="41"/>
      <c r="H45" s="41"/>
      <c r="I45" s="38" t="str">
        <f aca="false">IF(A45="","",TEXT(A45,"MMMM YYYY"))</f>
        <v/>
      </c>
    </row>
    <row r="46" customFormat="false" ht="15" hidden="false" customHeight="false" outlineLevel="0" collapsed="false">
      <c r="A46" s="41"/>
      <c r="B46" s="41"/>
      <c r="C46" s="41"/>
      <c r="D46" s="41"/>
      <c r="E46" s="41"/>
      <c r="F46" s="42"/>
      <c r="G46" s="41"/>
      <c r="H46" s="41"/>
      <c r="I46" s="40" t="str">
        <f aca="false">IF(A46="","",TEXT(A46,"MMMM YYYY"))</f>
        <v/>
      </c>
    </row>
    <row r="47" customFormat="false" ht="15" hidden="false" customHeight="false" outlineLevel="0" collapsed="false">
      <c r="A47" s="41"/>
      <c r="B47" s="41"/>
      <c r="C47" s="41"/>
      <c r="D47" s="41"/>
      <c r="E47" s="41"/>
      <c r="F47" s="42"/>
      <c r="G47" s="41"/>
      <c r="H47" s="41"/>
      <c r="I47" s="38" t="str">
        <f aca="false">IF(A47="","",TEXT(A47,"MMMM YYYY"))</f>
        <v/>
      </c>
    </row>
    <row r="48" customFormat="false" ht="15" hidden="false" customHeight="false" outlineLevel="0" collapsed="false">
      <c r="A48" s="41"/>
      <c r="B48" s="41"/>
      <c r="C48" s="41"/>
      <c r="D48" s="41"/>
      <c r="E48" s="41"/>
      <c r="F48" s="42"/>
      <c r="G48" s="41"/>
      <c r="H48" s="41"/>
      <c r="I48" s="40" t="str">
        <f aca="false">IF(A48="","",TEXT(A48,"MMMM YYYY"))</f>
        <v/>
      </c>
    </row>
    <row r="49" customFormat="false" ht="15" hidden="false" customHeight="false" outlineLevel="0" collapsed="false">
      <c r="A49" s="41"/>
      <c r="B49" s="41"/>
      <c r="C49" s="41"/>
      <c r="D49" s="41"/>
      <c r="E49" s="41"/>
      <c r="F49" s="42"/>
      <c r="G49" s="41"/>
      <c r="H49" s="41"/>
      <c r="I49" s="38" t="str">
        <f aca="false">IF(A49="","",TEXT(A49,"MMMM YYYY"))</f>
        <v/>
      </c>
    </row>
    <row r="50" customFormat="false" ht="15" hidden="false" customHeight="false" outlineLevel="0" collapsed="false">
      <c r="A50" s="41"/>
      <c r="B50" s="41"/>
      <c r="C50" s="41"/>
      <c r="D50" s="41"/>
      <c r="E50" s="41"/>
      <c r="F50" s="42"/>
      <c r="G50" s="41"/>
      <c r="H50" s="41"/>
      <c r="I50" s="40" t="str">
        <f aca="false">IF(A50="","",TEXT(A50,"MMMM YYYY"))</f>
        <v/>
      </c>
    </row>
    <row r="51" customFormat="false" ht="15" hidden="false" customHeight="false" outlineLevel="0" collapsed="false">
      <c r="A51" s="41"/>
      <c r="B51" s="41"/>
      <c r="C51" s="41"/>
      <c r="D51" s="41"/>
      <c r="E51" s="41"/>
      <c r="F51" s="42"/>
      <c r="G51" s="41"/>
      <c r="H51" s="41"/>
      <c r="I51" s="38" t="str">
        <f aca="false">IF(A51="","",TEXT(A51,"MMMM YYYY"))</f>
        <v/>
      </c>
    </row>
    <row r="52" customFormat="false" ht="15" hidden="false" customHeight="false" outlineLevel="0" collapsed="false">
      <c r="A52" s="41"/>
      <c r="B52" s="41"/>
      <c r="C52" s="41"/>
      <c r="D52" s="41"/>
      <c r="E52" s="41"/>
      <c r="F52" s="42"/>
      <c r="G52" s="41"/>
      <c r="H52" s="41"/>
      <c r="I52" s="40" t="str">
        <f aca="false">IF(A52="","",TEXT(A52,"MMMM YYYY"))</f>
        <v/>
      </c>
    </row>
    <row r="53" customFormat="false" ht="15" hidden="false" customHeight="false" outlineLevel="0" collapsed="false">
      <c r="A53" s="41"/>
      <c r="B53" s="41"/>
      <c r="C53" s="41"/>
      <c r="D53" s="41"/>
      <c r="E53" s="41"/>
      <c r="F53" s="42"/>
      <c r="G53" s="41"/>
      <c r="H53" s="41"/>
      <c r="I53" s="38" t="str">
        <f aca="false">IF(A53="","",TEXT(A53,"MMMM YYYY"))</f>
        <v/>
      </c>
    </row>
    <row r="54" customFormat="false" ht="15" hidden="false" customHeight="false" outlineLevel="0" collapsed="false">
      <c r="A54" s="41"/>
      <c r="B54" s="41"/>
      <c r="C54" s="41"/>
      <c r="D54" s="41"/>
      <c r="E54" s="41"/>
      <c r="F54" s="42"/>
      <c r="G54" s="41"/>
      <c r="H54" s="41"/>
      <c r="I54" s="40" t="str">
        <f aca="false">IF(A54="","",TEXT(A54,"MMMM YYYY"))</f>
        <v/>
      </c>
    </row>
    <row r="55" customFormat="false" ht="15" hidden="false" customHeight="false" outlineLevel="0" collapsed="false">
      <c r="A55" s="41"/>
      <c r="B55" s="41"/>
      <c r="C55" s="41"/>
      <c r="D55" s="41"/>
      <c r="E55" s="41"/>
      <c r="F55" s="42"/>
      <c r="G55" s="41"/>
      <c r="H55" s="41"/>
      <c r="I55" s="38" t="str">
        <f aca="false">IF(A55="","",TEXT(A55,"MMMM YYYY"))</f>
        <v/>
      </c>
    </row>
    <row r="56" customFormat="false" ht="15" hidden="false" customHeight="false" outlineLevel="0" collapsed="false">
      <c r="A56" s="41"/>
      <c r="B56" s="41"/>
      <c r="C56" s="41"/>
      <c r="D56" s="41"/>
      <c r="E56" s="41"/>
      <c r="F56" s="42"/>
      <c r="G56" s="41"/>
      <c r="H56" s="41"/>
      <c r="I56" s="40" t="str">
        <f aca="false">IF(A56="","",TEXT(A56,"MMMM YYYY"))</f>
        <v/>
      </c>
    </row>
    <row r="57" customFormat="false" ht="15" hidden="false" customHeight="false" outlineLevel="0" collapsed="false">
      <c r="A57" s="41"/>
      <c r="B57" s="41"/>
      <c r="C57" s="41"/>
      <c r="D57" s="41"/>
      <c r="E57" s="41"/>
      <c r="F57" s="42"/>
      <c r="G57" s="41"/>
      <c r="H57" s="41"/>
      <c r="I57" s="38" t="str">
        <f aca="false">IF(A57="","",TEXT(A57,"MMMM YYYY"))</f>
        <v/>
      </c>
    </row>
    <row r="58" customFormat="false" ht="15" hidden="false" customHeight="false" outlineLevel="0" collapsed="false">
      <c r="A58" s="41"/>
      <c r="B58" s="41"/>
      <c r="C58" s="41"/>
      <c r="D58" s="41"/>
      <c r="E58" s="41"/>
      <c r="F58" s="42"/>
      <c r="G58" s="41"/>
      <c r="H58" s="41"/>
      <c r="I58" s="40" t="str">
        <f aca="false">IF(A58="","",TEXT(A58,"MMMM YYYY"))</f>
        <v/>
      </c>
    </row>
    <row r="59" customFormat="false" ht="15" hidden="false" customHeight="false" outlineLevel="0" collapsed="false">
      <c r="A59" s="41"/>
      <c r="B59" s="41"/>
      <c r="C59" s="41"/>
      <c r="D59" s="41"/>
      <c r="E59" s="41"/>
      <c r="F59" s="42"/>
      <c r="G59" s="41"/>
      <c r="H59" s="41"/>
      <c r="I59" s="38" t="str">
        <f aca="false">IF(A59="","",TEXT(A59,"MMMM YYYY"))</f>
        <v/>
      </c>
    </row>
    <row r="60" customFormat="false" ht="15" hidden="false" customHeight="false" outlineLevel="0" collapsed="false">
      <c r="A60" s="41"/>
      <c r="B60" s="41"/>
      <c r="C60" s="41"/>
      <c r="D60" s="41"/>
      <c r="E60" s="41"/>
      <c r="F60" s="42"/>
      <c r="G60" s="41"/>
      <c r="H60" s="41"/>
      <c r="I60" s="40" t="str">
        <f aca="false">IF(A60="","",TEXT(A60,"MMMM YYYY"))</f>
        <v/>
      </c>
    </row>
    <row r="61" customFormat="false" ht="15" hidden="false" customHeight="false" outlineLevel="0" collapsed="false">
      <c r="A61" s="41"/>
      <c r="B61" s="41"/>
      <c r="C61" s="41"/>
      <c r="D61" s="41"/>
      <c r="E61" s="41"/>
      <c r="F61" s="42"/>
      <c r="G61" s="41"/>
      <c r="H61" s="41"/>
      <c r="I61" s="38" t="str">
        <f aca="false">IF(A61="","",TEXT(A61,"MMMM YYYY"))</f>
        <v/>
      </c>
    </row>
    <row r="62" customFormat="false" ht="15" hidden="false" customHeight="false" outlineLevel="0" collapsed="false">
      <c r="A62" s="41"/>
      <c r="B62" s="41"/>
      <c r="C62" s="41"/>
      <c r="D62" s="41"/>
      <c r="E62" s="41"/>
      <c r="F62" s="42"/>
      <c r="G62" s="41"/>
      <c r="H62" s="41"/>
      <c r="I62" s="40" t="str">
        <f aca="false">IF(A62="","",TEXT(A62,"MMMM YYYY"))</f>
        <v/>
      </c>
    </row>
    <row r="63" customFormat="false" ht="15" hidden="false" customHeight="false" outlineLevel="0" collapsed="false">
      <c r="A63" s="41"/>
      <c r="B63" s="41"/>
      <c r="C63" s="41"/>
      <c r="D63" s="41"/>
      <c r="E63" s="41"/>
      <c r="F63" s="42"/>
      <c r="G63" s="41"/>
      <c r="H63" s="41"/>
      <c r="I63" s="38" t="str">
        <f aca="false">IF(A63="","",TEXT(A63,"MMMM YYYY"))</f>
        <v/>
      </c>
    </row>
    <row r="65" customFormat="false" ht="15" hidden="false" customHeight="false" outlineLevel="0" collapsed="false">
      <c r="A65" s="27" t="s">
        <v>111</v>
      </c>
      <c r="B65" s="27"/>
      <c r="C65" s="27"/>
      <c r="D65" s="27"/>
      <c r="E65" s="27"/>
      <c r="F65" s="28" t="n">
        <f aca="false">SUM(F5:F63)</f>
        <v>1651895</v>
      </c>
      <c r="G65" s="27"/>
      <c r="H65" s="27"/>
      <c r="I65" s="2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1" customFormat="false" ht="30" hidden="false" customHeight="true" outlineLevel="0" collapsed="false">
      <c r="A1" s="8" t="s">
        <v>112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</row>
    <row r="4" customFormat="false" ht="16.15" hidden="false" customHeight="false" outlineLevel="0" collapsed="false">
      <c r="B4" s="43" t="s">
        <v>113</v>
      </c>
    </row>
    <row r="5" customFormat="false" ht="15" hidden="false" customHeight="false" outlineLevel="0" collapsed="false">
      <c r="B5" s="44" t="s">
        <v>114</v>
      </c>
    </row>
    <row r="6" customFormat="false" ht="15" hidden="false" customHeight="false" outlineLevel="0" collapsed="false">
      <c r="B6" s="44" t="s">
        <v>115</v>
      </c>
    </row>
    <row r="7" customFormat="false" ht="15" hidden="false" customHeight="false" outlineLevel="0" collapsed="false">
      <c r="B7" s="44" t="s">
        <v>116</v>
      </c>
    </row>
    <row r="8" customFormat="false" ht="15" hidden="false" customHeight="false" outlineLevel="0" collapsed="false">
      <c r="B8" s="44"/>
    </row>
    <row r="9" customFormat="false" ht="16.15" hidden="false" customHeight="false" outlineLevel="0" collapsed="false">
      <c r="B9" s="43" t="s">
        <v>117</v>
      </c>
    </row>
    <row r="10" customFormat="false" ht="15" hidden="false" customHeight="false" outlineLevel="0" collapsed="false">
      <c r="B10" s="44" t="s">
        <v>118</v>
      </c>
    </row>
    <row r="11" customFormat="false" ht="15" hidden="false" customHeight="false" outlineLevel="0" collapsed="false">
      <c r="B11" s="44" t="s">
        <v>119</v>
      </c>
    </row>
    <row r="12" customFormat="false" ht="15" hidden="false" customHeight="false" outlineLevel="0" collapsed="false">
      <c r="B12" s="44" t="s">
        <v>120</v>
      </c>
    </row>
    <row r="13" customFormat="false" ht="15" hidden="false" customHeight="false" outlineLevel="0" collapsed="false">
      <c r="B13" s="44" t="s">
        <v>121</v>
      </c>
    </row>
    <row r="14" customFormat="false" ht="15" hidden="false" customHeight="false" outlineLevel="0" collapsed="false">
      <c r="B14" s="44" t="s">
        <v>122</v>
      </c>
    </row>
    <row r="15" customFormat="false" ht="15" hidden="false" customHeight="false" outlineLevel="0" collapsed="false">
      <c r="B15" s="44" t="s">
        <v>123</v>
      </c>
    </row>
    <row r="16" customFormat="false" ht="15" hidden="false" customHeight="false" outlineLevel="0" collapsed="false">
      <c r="B16" s="44" t="s">
        <v>124</v>
      </c>
    </row>
    <row r="17" customFormat="false" ht="15" hidden="false" customHeight="false" outlineLevel="0" collapsed="false">
      <c r="B17" s="44" t="s">
        <v>125</v>
      </c>
    </row>
    <row r="18" customFormat="false" ht="15" hidden="false" customHeight="false" outlineLevel="0" collapsed="false">
      <c r="B18" s="44" t="s">
        <v>126</v>
      </c>
    </row>
    <row r="19" customFormat="false" ht="15" hidden="false" customHeight="false" outlineLevel="0" collapsed="false">
      <c r="B19" s="44" t="s">
        <v>127</v>
      </c>
    </row>
    <row r="20" customFormat="false" ht="15" hidden="false" customHeight="false" outlineLevel="0" collapsed="false">
      <c r="B20" s="44"/>
    </row>
    <row r="21" customFormat="false" ht="16.15" hidden="false" customHeight="false" outlineLevel="0" collapsed="false">
      <c r="B21" s="43" t="s">
        <v>128</v>
      </c>
    </row>
    <row r="22" customFormat="false" ht="15" hidden="false" customHeight="false" outlineLevel="0" collapsed="false">
      <c r="B22" s="44" t="s">
        <v>129</v>
      </c>
    </row>
    <row r="23" customFormat="false" ht="15" hidden="false" customHeight="false" outlineLevel="0" collapsed="false">
      <c r="B23" s="44" t="s">
        <v>130</v>
      </c>
    </row>
    <row r="24" customFormat="false" ht="15" hidden="false" customHeight="false" outlineLevel="0" collapsed="false">
      <c r="B24" s="44" t="s">
        <v>131</v>
      </c>
    </row>
    <row r="25" customFormat="false" ht="15" hidden="false" customHeight="false" outlineLevel="0" collapsed="false">
      <c r="B25" s="44" t="s">
        <v>132</v>
      </c>
    </row>
    <row r="26" customFormat="false" ht="15" hidden="false" customHeight="false" outlineLevel="0" collapsed="false">
      <c r="B26" s="44" t="s">
        <v>133</v>
      </c>
    </row>
    <row r="27" customFormat="false" ht="15" hidden="false" customHeight="false" outlineLevel="0" collapsed="false">
      <c r="B27" s="44" t="s">
        <v>134</v>
      </c>
    </row>
    <row r="28" customFormat="false" ht="15" hidden="false" customHeight="false" outlineLevel="0" collapsed="false">
      <c r="B28" s="44" t="s">
        <v>135</v>
      </c>
    </row>
    <row r="29" customFormat="false" ht="15" hidden="false" customHeight="false" outlineLevel="0" collapsed="false">
      <c r="B29" s="44" t="s">
        <v>136</v>
      </c>
    </row>
    <row r="30" customFormat="false" ht="15" hidden="false" customHeight="false" outlineLevel="0" collapsed="false">
      <c r="B30" s="44"/>
    </row>
    <row r="31" customFormat="false" ht="16.15" hidden="false" customHeight="false" outlineLevel="0" collapsed="false">
      <c r="B31" s="43" t="s">
        <v>137</v>
      </c>
    </row>
    <row r="32" customFormat="false" ht="15" hidden="false" customHeight="false" outlineLevel="0" collapsed="false">
      <c r="B32" s="44" t="s">
        <v>138</v>
      </c>
    </row>
    <row r="33" customFormat="false" ht="15" hidden="false" customHeight="false" outlineLevel="0" collapsed="false">
      <c r="B33" s="44" t="s">
        <v>139</v>
      </c>
    </row>
    <row r="34" customFormat="false" ht="15" hidden="false" customHeight="false" outlineLevel="0" collapsed="false">
      <c r="B34" s="44" t="s">
        <v>140</v>
      </c>
    </row>
    <row r="35" customFormat="false" ht="15" hidden="false" customHeight="false" outlineLevel="0" collapsed="false">
      <c r="B35" s="44" t="s">
        <v>141</v>
      </c>
    </row>
    <row r="36" customFormat="false" ht="15" hidden="false" customHeight="false" outlineLevel="0" collapsed="false">
      <c r="B36" s="44" t="s">
        <v>142</v>
      </c>
    </row>
    <row r="37" customFormat="false" ht="15" hidden="false" customHeight="false" outlineLevel="0" collapsed="false">
      <c r="B37" s="44" t="s">
        <v>143</v>
      </c>
    </row>
    <row r="38" customFormat="false" ht="15" hidden="false" customHeight="false" outlineLevel="0" collapsed="false">
      <c r="B38" s="44"/>
    </row>
    <row r="39" customFormat="false" ht="16.15" hidden="false" customHeight="false" outlineLevel="0" collapsed="false">
      <c r="B39" s="43" t="s">
        <v>144</v>
      </c>
    </row>
    <row r="40" customFormat="false" ht="15" hidden="false" customHeight="false" outlineLevel="0" collapsed="false">
      <c r="B40" s="44" t="s">
        <v>145</v>
      </c>
    </row>
    <row r="41" customFormat="false" ht="15" hidden="false" customHeight="false" outlineLevel="0" collapsed="false">
      <c r="B41" s="44" t="s">
        <v>146</v>
      </c>
    </row>
    <row r="42" customFormat="false" ht="15" hidden="false" customHeight="false" outlineLevel="0" collapsed="false">
      <c r="B42" s="44" t="s">
        <v>147</v>
      </c>
    </row>
    <row r="43" customFormat="false" ht="15" hidden="false" customHeight="false" outlineLevel="0" collapsed="false">
      <c r="B43" s="44" t="s">
        <v>148</v>
      </c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8" t="s">
        <v>149</v>
      </c>
      <c r="B1" s="8"/>
    </row>
    <row r="3" customFormat="false" ht="15" hidden="false" customHeight="false" outlineLevel="0" collapsed="false">
      <c r="A3" s="16" t="s">
        <v>150</v>
      </c>
      <c r="B3" s="16" t="s">
        <v>151</v>
      </c>
    </row>
    <row r="4" customFormat="false" ht="55.5" hidden="false" customHeight="true" outlineLevel="0" collapsed="false">
      <c r="A4" s="45" t="s">
        <v>152</v>
      </c>
      <c r="B4" s="46" t="s">
        <v>153</v>
      </c>
    </row>
    <row r="5" customFormat="false" ht="55.5" hidden="false" customHeight="true" outlineLevel="0" collapsed="false">
      <c r="A5" s="47" t="s">
        <v>154</v>
      </c>
      <c r="B5" s="48" t="s">
        <v>155</v>
      </c>
    </row>
    <row r="6" customFormat="false" ht="55.5" hidden="false" customHeight="true" outlineLevel="0" collapsed="false">
      <c r="A6" s="45" t="s">
        <v>156</v>
      </c>
      <c r="B6" s="46" t="s">
        <v>157</v>
      </c>
    </row>
    <row r="7" customFormat="false" ht="55.5" hidden="false" customHeight="true" outlineLevel="0" collapsed="false">
      <c r="A7" s="47" t="s">
        <v>158</v>
      </c>
      <c r="B7" s="48" t="s">
        <v>159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2026-09-06T04:07:22Z</dcterms:created>
  <dc:creator>openpyxl</dc:creator>
  <dc:description/>
  <dc:language>en-US</dc:language>
  <cp:lastModifiedBy/>
  <dcterms:modified xsi:type="dcterms:W3CDTF">2026-09-06T04:07:24Z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